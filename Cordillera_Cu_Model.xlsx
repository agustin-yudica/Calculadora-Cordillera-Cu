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gusy\Downloads\Tecnico Minero\"/>
    </mc:Choice>
  </mc:AlternateContent>
  <xr:revisionPtr revIDLastSave="0" documentId="13_ncr:1_{F4420DAC-93D9-4296-B46F-88E75A67A425}" xr6:coauthVersionLast="47" xr6:coauthVersionMax="47" xr10:uidLastSave="{00000000-0000-0000-0000-000000000000}"/>
  <bookViews>
    <workbookView xWindow="-120" yWindow="-120" windowWidth="20730" windowHeight="11040" tabRatio="866" firstSheet="1" activeTab="12" xr2:uid="{00000000-000D-0000-FFFF-FFFF00000000}"/>
  </bookViews>
  <sheets>
    <sheet name="Cover" sheetId="1" r:id="rId1"/>
    <sheet name="Assumptions" sheetId="2" r:id="rId2"/>
    <sheet name="Production" sheetId="3" r:id="rId3"/>
    <sheet name="Revenue" sheetId="4" r:id="rId4"/>
    <sheet name="OPEX" sheetId="5" r:id="rId5"/>
    <sheet name="OPEX Detail" sheetId="6" r:id="rId6"/>
    <sheet name="CAPEX" sheetId="7" r:id="rId7"/>
    <sheet name="CAPEX Detail" sheetId="8" r:id="rId8"/>
    <sheet name="Taxes" sheetId="9" r:id="rId9"/>
    <sheet name="Cash Flow" sheetId="10" r:id="rId10"/>
    <sheet name="Valuation" sheetId="11" r:id="rId11"/>
    <sheet name="Sensitivities" sheetId="12" state="hidden" r:id="rId12"/>
    <sheet name="Scenarios" sheetId="13" r:id="rId13"/>
    <sheet name="Dashboard" sheetId="14" r:id="rId14"/>
  </sheets>
  <definedNames>
    <definedName name="CAPEX_Inicial_Total">CAPEX!$B$14</definedName>
    <definedName name="Costo_Mina_Unitario">'OPEX Detail'!$B$9</definedName>
    <definedName name="Costo_Planta_Unitario">'OPEX Detail'!$B$16</definedName>
    <definedName name="Factor_Anualidad">Valuation!#REF!</definedName>
    <definedName name="Factor_Conversion_TnLb">Assumptions!$B$13</definedName>
    <definedName name="GA_Fijo">OPEX!$B$14</definedName>
    <definedName name="Ley_Cobre">Assumptions!$B$7</definedName>
    <definedName name="Ley_Concentrado">Assumptions!$B$14</definedName>
    <definedName name="LOM">Valuation!$B$11</definedName>
    <definedName name="Mano_Obra_Fija">OPEX!$B$13</definedName>
    <definedName name="OPEX_Total_Anual">OPEX!$B$17</definedName>
    <definedName name="Payability">Assumptions!$B$9</definedName>
    <definedName name="Precio_Cobre">Assumptions!$B$12</definedName>
    <definedName name="RC_Unitario">Assumptions!$B$16</definedName>
    <definedName name="Recuperacion_Metalurgica">Assumptions!$B$8</definedName>
    <definedName name="Reservas_Totales">Assumptions!$B$79</definedName>
    <definedName name="solver_eng" localSheetId="5" hidden="1">1</definedName>
    <definedName name="solver_neg" localSheetId="5" hidden="1">1</definedName>
    <definedName name="solver_num" localSheetId="5" hidden="1">0</definedName>
    <definedName name="solver_opt" localSheetId="5" hidden="1">'OPEX Detail'!$D$6</definedName>
    <definedName name="solver_typ" localSheetId="5" hidden="1">1</definedName>
    <definedName name="solver_val" localSheetId="5" hidden="1">0</definedName>
    <definedName name="solver_ver" localSheetId="5" hidden="1">3</definedName>
    <definedName name="Tasa_Impuesto">Assumptions!$B$80</definedName>
    <definedName name="Tasa_Provision_Cierre">Assumptions!$B$85</definedName>
    <definedName name="TC_Unitario">Assumptions!$B$15</definedName>
    <definedName name="TIR_Base">Valuation!$B$14</definedName>
    <definedName name="Toneladas_Procesadas">Assumptions!$B$6</definedName>
    <definedName name="WACC">Assumptions!$B$83</definedName>
  </definedNames>
  <calcPr calcId="18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98" i="12" l="1"/>
  <c r="B97" i="12"/>
  <c r="B96" i="12"/>
  <c r="B95" i="12"/>
  <c r="B94" i="12"/>
  <c r="B86" i="12"/>
  <c r="B85" i="12"/>
  <c r="B84" i="12"/>
  <c r="B83" i="12"/>
  <c r="B82" i="12"/>
  <c r="U79" i="12"/>
  <c r="T79" i="12"/>
  <c r="S79" i="12"/>
  <c r="R79" i="12"/>
  <c r="Q79" i="12"/>
  <c r="P79" i="12"/>
  <c r="O79" i="12"/>
  <c r="N79" i="12"/>
  <c r="M79" i="12"/>
  <c r="L79" i="12"/>
  <c r="K79" i="12"/>
  <c r="J79" i="12"/>
  <c r="I79" i="12"/>
  <c r="H79" i="12"/>
  <c r="G79" i="12"/>
  <c r="E74" i="12"/>
  <c r="B74" i="12"/>
  <c r="E73" i="12"/>
  <c r="B73" i="12"/>
  <c r="E72" i="12"/>
  <c r="B72" i="12"/>
  <c r="E71" i="12"/>
  <c r="B71" i="12"/>
  <c r="E70" i="12"/>
  <c r="B70" i="12"/>
  <c r="E62" i="12"/>
  <c r="B62" i="12"/>
  <c r="E61" i="12"/>
  <c r="B61" i="12"/>
  <c r="E60" i="12"/>
  <c r="B60" i="12"/>
  <c r="E59" i="12"/>
  <c r="B59" i="12"/>
  <c r="E58" i="12"/>
  <c r="B58" i="12"/>
  <c r="E50" i="12"/>
  <c r="B50" i="12"/>
  <c r="E49" i="12"/>
  <c r="B49" i="12"/>
  <c r="E48" i="12"/>
  <c r="B48" i="12"/>
  <c r="E47" i="12"/>
  <c r="B47" i="12"/>
  <c r="E46" i="12"/>
  <c r="B46" i="12"/>
  <c r="B26" i="11"/>
  <c r="B12" i="11"/>
  <c r="B11" i="11"/>
  <c r="D40" i="10"/>
  <c r="C40" i="10"/>
  <c r="E40" i="10" s="1"/>
  <c r="Q31" i="10"/>
  <c r="P31" i="10"/>
  <c r="O31" i="10"/>
  <c r="N31" i="10"/>
  <c r="M31" i="10"/>
  <c r="L31" i="10"/>
  <c r="K31" i="10"/>
  <c r="J31" i="10"/>
  <c r="I31" i="10"/>
  <c r="H31" i="10"/>
  <c r="G31" i="10"/>
  <c r="F31" i="10"/>
  <c r="E31" i="10"/>
  <c r="D31" i="10"/>
  <c r="C31" i="10"/>
  <c r="Q27" i="10"/>
  <c r="P27" i="10"/>
  <c r="O27" i="10"/>
  <c r="N27" i="10"/>
  <c r="M27" i="10"/>
  <c r="L27" i="10"/>
  <c r="K27" i="10"/>
  <c r="J27" i="10"/>
  <c r="I27" i="10"/>
  <c r="H27" i="10"/>
  <c r="G27" i="10"/>
  <c r="F27" i="10"/>
  <c r="E27" i="10"/>
  <c r="D27" i="10"/>
  <c r="C27" i="10"/>
  <c r="Q24" i="10"/>
  <c r="P24" i="10"/>
  <c r="O24" i="10"/>
  <c r="N24" i="10"/>
  <c r="M24" i="10"/>
  <c r="L24" i="10"/>
  <c r="K24" i="10"/>
  <c r="J24" i="10"/>
  <c r="I24" i="10"/>
  <c r="H24" i="10"/>
  <c r="G24" i="10"/>
  <c r="F24" i="10"/>
  <c r="E24" i="10"/>
  <c r="D24" i="10"/>
  <c r="C24" i="10"/>
  <c r="Q23" i="10"/>
  <c r="P23" i="10"/>
  <c r="O23" i="10"/>
  <c r="N23" i="10"/>
  <c r="M23" i="10"/>
  <c r="L23" i="10"/>
  <c r="K23" i="10"/>
  <c r="J23" i="10"/>
  <c r="I23" i="10"/>
  <c r="H23" i="10"/>
  <c r="G23" i="10"/>
  <c r="F23" i="10"/>
  <c r="E23" i="10"/>
  <c r="D23" i="10"/>
  <c r="C23" i="10"/>
  <c r="Q15" i="10"/>
  <c r="P15" i="10"/>
  <c r="O15" i="10"/>
  <c r="N15" i="10"/>
  <c r="M15" i="10"/>
  <c r="L15" i="10"/>
  <c r="K15" i="10"/>
  <c r="J15" i="10"/>
  <c r="I15" i="10"/>
  <c r="H15" i="10"/>
  <c r="G15" i="10"/>
  <c r="F15" i="10"/>
  <c r="E15" i="10"/>
  <c r="D15" i="10"/>
  <c r="C15" i="10"/>
  <c r="Q12" i="10"/>
  <c r="P12" i="10"/>
  <c r="O12" i="10"/>
  <c r="N12" i="10"/>
  <c r="M12" i="10"/>
  <c r="L12" i="10"/>
  <c r="K12" i="10"/>
  <c r="J12" i="10"/>
  <c r="I12" i="10"/>
  <c r="H12" i="10"/>
  <c r="G12" i="10"/>
  <c r="F12" i="10"/>
  <c r="E12" i="10"/>
  <c r="D12" i="10"/>
  <c r="C12" i="10"/>
  <c r="Q10" i="10"/>
  <c r="P10" i="10"/>
  <c r="O10" i="10"/>
  <c r="N10" i="10"/>
  <c r="M10" i="10"/>
  <c r="L10" i="10"/>
  <c r="K10" i="10"/>
  <c r="J10" i="10"/>
  <c r="I10" i="10"/>
  <c r="H10" i="10"/>
  <c r="G10" i="10"/>
  <c r="F10" i="10"/>
  <c r="E10" i="10"/>
  <c r="D10" i="10"/>
  <c r="C10" i="10"/>
  <c r="Q8" i="10"/>
  <c r="P8" i="10"/>
  <c r="O8" i="10"/>
  <c r="N8" i="10"/>
  <c r="M8" i="10"/>
  <c r="L8" i="10"/>
  <c r="K8" i="10"/>
  <c r="J8" i="10"/>
  <c r="I8" i="10"/>
  <c r="H8" i="10"/>
  <c r="G8" i="10"/>
  <c r="F8" i="10"/>
  <c r="E8" i="10"/>
  <c r="D8" i="10"/>
  <c r="C8" i="10"/>
  <c r="Q7" i="10"/>
  <c r="Q9" i="10" s="1"/>
  <c r="Q11" i="10" s="1"/>
  <c r="P7" i="10"/>
  <c r="P9" i="10" s="1"/>
  <c r="P11" i="10" s="1"/>
  <c r="O7" i="10"/>
  <c r="O9" i="10" s="1"/>
  <c r="O11" i="10" s="1"/>
  <c r="N7" i="10"/>
  <c r="N9" i="10" s="1"/>
  <c r="N11" i="10" s="1"/>
  <c r="M7" i="10"/>
  <c r="M9" i="10" s="1"/>
  <c r="M11" i="10" s="1"/>
  <c r="L7" i="10"/>
  <c r="L9" i="10" s="1"/>
  <c r="L11" i="10" s="1"/>
  <c r="K7" i="10"/>
  <c r="K9" i="10" s="1"/>
  <c r="K11" i="10" s="1"/>
  <c r="J7" i="10"/>
  <c r="J9" i="10" s="1"/>
  <c r="J11" i="10" s="1"/>
  <c r="I7" i="10"/>
  <c r="I9" i="10" s="1"/>
  <c r="I11" i="10" s="1"/>
  <c r="H7" i="10"/>
  <c r="H9" i="10" s="1"/>
  <c r="H11" i="10" s="1"/>
  <c r="G7" i="10"/>
  <c r="G9" i="10" s="1"/>
  <c r="G11" i="10" s="1"/>
  <c r="F7" i="10"/>
  <c r="F9" i="10" s="1"/>
  <c r="F11" i="10" s="1"/>
  <c r="E7" i="10"/>
  <c r="E9" i="10" s="1"/>
  <c r="E11" i="10" s="1"/>
  <c r="D7" i="10"/>
  <c r="D9" i="10" s="1"/>
  <c r="D11" i="10" s="1"/>
  <c r="C7" i="10"/>
  <c r="C9" i="10" s="1"/>
  <c r="C11" i="10" s="1"/>
  <c r="B70" i="8"/>
  <c r="B69" i="8"/>
  <c r="B71" i="8" s="1"/>
  <c r="B67" i="8"/>
  <c r="B66" i="8"/>
  <c r="B68" i="8" s="1"/>
  <c r="B64" i="8"/>
  <c r="B63" i="8"/>
  <c r="B62" i="8"/>
  <c r="B65" i="8" s="1"/>
  <c r="B72" i="8" s="1"/>
  <c r="B9" i="7" s="1"/>
  <c r="B57" i="8"/>
  <c r="B56" i="8"/>
  <c r="B58" i="8" s="1"/>
  <c r="B54" i="8"/>
  <c r="B53" i="8"/>
  <c r="B52" i="8"/>
  <c r="B55" i="8" s="1"/>
  <c r="B50" i="8"/>
  <c r="B48" i="8"/>
  <c r="B47" i="8"/>
  <c r="B49" i="8" s="1"/>
  <c r="B51" i="8" s="1"/>
  <c r="B44" i="8"/>
  <c r="B43" i="8"/>
  <c r="B45" i="8" s="1"/>
  <c r="B46" i="8" s="1"/>
  <c r="B59" i="8" s="1"/>
  <c r="B8" i="7" s="1"/>
  <c r="B38" i="8"/>
  <c r="B37" i="8"/>
  <c r="B39" i="8" s="1"/>
  <c r="B35" i="8"/>
  <c r="B34" i="8"/>
  <c r="B33" i="8"/>
  <c r="B36" i="8" s="1"/>
  <c r="B31" i="8"/>
  <c r="B30" i="8"/>
  <c r="B29" i="8"/>
  <c r="B32" i="8" s="1"/>
  <c r="B27" i="8"/>
  <c r="B26" i="8"/>
  <c r="B25" i="8"/>
  <c r="B28" i="8" s="1"/>
  <c r="B23" i="8"/>
  <c r="B22" i="8"/>
  <c r="B21" i="8"/>
  <c r="B24" i="8" s="1"/>
  <c r="B40" i="8" s="1"/>
  <c r="B7" i="7" s="1"/>
  <c r="B16" i="8"/>
  <c r="B15" i="8"/>
  <c r="B17" i="8" s="1"/>
  <c r="B12" i="8"/>
  <c r="B11" i="8"/>
  <c r="B13" i="8" s="1"/>
  <c r="B14" i="8" s="1"/>
  <c r="B9" i="8"/>
  <c r="B8" i="8"/>
  <c r="B7" i="8"/>
  <c r="B6" i="8"/>
  <c r="B10" i="8" s="1"/>
  <c r="B18" i="8" s="1"/>
  <c r="B6" i="7" s="1"/>
  <c r="B10" i="7" s="1"/>
  <c r="B11" i="7"/>
  <c r="B15" i="6"/>
  <c r="B14" i="6"/>
  <c r="B13" i="6"/>
  <c r="B12" i="6"/>
  <c r="B16" i="6" s="1"/>
  <c r="B8" i="6"/>
  <c r="B7" i="6"/>
  <c r="B6" i="6"/>
  <c r="B5" i="6"/>
  <c r="B9" i="6" s="1"/>
  <c r="B14" i="5"/>
  <c r="B13" i="5"/>
  <c r="B6" i="5"/>
  <c r="B17" i="4"/>
  <c r="B15" i="4"/>
  <c r="B13" i="4"/>
  <c r="A12" i="4"/>
  <c r="B8" i="4"/>
  <c r="A6" i="4"/>
  <c r="A7" i="4" s="1"/>
  <c r="B17" i="3"/>
  <c r="B10" i="3"/>
  <c r="B8" i="3"/>
  <c r="B6" i="3"/>
  <c r="G5" i="3"/>
  <c r="G6" i="3" s="1"/>
  <c r="F5" i="3"/>
  <c r="F6" i="3" s="1"/>
  <c r="B5" i="3"/>
  <c r="B34" i="2"/>
  <c r="B33" i="2"/>
  <c r="B32" i="2"/>
  <c r="B31" i="2"/>
  <c r="D184" i="13"/>
  <c r="Q171" i="13"/>
  <c r="P171" i="13"/>
  <c r="O171" i="13"/>
  <c r="N171" i="13"/>
  <c r="M171" i="13"/>
  <c r="L171" i="13"/>
  <c r="K171" i="13"/>
  <c r="J171" i="13"/>
  <c r="I171" i="13"/>
  <c r="H171" i="13"/>
  <c r="G171" i="13"/>
  <c r="F171" i="13"/>
  <c r="E171" i="13"/>
  <c r="D171" i="13"/>
  <c r="C171" i="13"/>
  <c r="Q168" i="13"/>
  <c r="P168" i="13"/>
  <c r="O168" i="13"/>
  <c r="N168" i="13"/>
  <c r="M168" i="13"/>
  <c r="L168" i="13"/>
  <c r="K168" i="13"/>
  <c r="J168" i="13"/>
  <c r="I168" i="13"/>
  <c r="H168" i="13"/>
  <c r="G168" i="13"/>
  <c r="F168" i="13"/>
  <c r="E168" i="13"/>
  <c r="D168" i="13"/>
  <c r="C168" i="13"/>
  <c r="Q167" i="13"/>
  <c r="P167" i="13"/>
  <c r="O167" i="13"/>
  <c r="N167" i="13"/>
  <c r="M167" i="13"/>
  <c r="L167" i="13"/>
  <c r="K167" i="13"/>
  <c r="J167" i="13"/>
  <c r="I167" i="13"/>
  <c r="H167" i="13"/>
  <c r="G167" i="13"/>
  <c r="F167" i="13"/>
  <c r="E167" i="13"/>
  <c r="D167" i="13"/>
  <c r="C167" i="13"/>
  <c r="Q156" i="13"/>
  <c r="P156" i="13"/>
  <c r="O156" i="13"/>
  <c r="N156" i="13"/>
  <c r="M156" i="13"/>
  <c r="L156" i="13"/>
  <c r="K156" i="13"/>
  <c r="J156" i="13"/>
  <c r="I156" i="13"/>
  <c r="H156" i="13"/>
  <c r="G156" i="13"/>
  <c r="F156" i="13"/>
  <c r="E156" i="13"/>
  <c r="D156" i="13"/>
  <c r="C156" i="13"/>
  <c r="D146" i="13"/>
  <c r="Q133" i="13"/>
  <c r="P133" i="13"/>
  <c r="O133" i="13"/>
  <c r="N133" i="13"/>
  <c r="M133" i="13"/>
  <c r="L133" i="13"/>
  <c r="K133" i="13"/>
  <c r="J133" i="13"/>
  <c r="I133" i="13"/>
  <c r="H133" i="13"/>
  <c r="G133" i="13"/>
  <c r="F133" i="13"/>
  <c r="E133" i="13"/>
  <c r="D133" i="13"/>
  <c r="C133" i="13"/>
  <c r="Q130" i="13"/>
  <c r="P130" i="13"/>
  <c r="O130" i="13"/>
  <c r="N130" i="13"/>
  <c r="M130" i="13"/>
  <c r="L130" i="13"/>
  <c r="K130" i="13"/>
  <c r="J130" i="13"/>
  <c r="I130" i="13"/>
  <c r="H130" i="13"/>
  <c r="G130" i="13"/>
  <c r="F130" i="13"/>
  <c r="E130" i="13"/>
  <c r="D130" i="13"/>
  <c r="C130" i="13"/>
  <c r="Q129" i="13"/>
  <c r="P129" i="13"/>
  <c r="O129" i="13"/>
  <c r="N129" i="13"/>
  <c r="M129" i="13"/>
  <c r="L129" i="13"/>
  <c r="K129" i="13"/>
  <c r="J129" i="13"/>
  <c r="I129" i="13"/>
  <c r="H129" i="13"/>
  <c r="G129" i="13"/>
  <c r="F129" i="13"/>
  <c r="E129" i="13"/>
  <c r="D129" i="13"/>
  <c r="C129" i="13"/>
  <c r="Q118" i="13"/>
  <c r="P118" i="13"/>
  <c r="O118" i="13"/>
  <c r="N118" i="13"/>
  <c r="M118" i="13"/>
  <c r="L118" i="13"/>
  <c r="K118" i="13"/>
  <c r="J118" i="13"/>
  <c r="I118" i="13"/>
  <c r="H118" i="13"/>
  <c r="G118" i="13"/>
  <c r="F118" i="13"/>
  <c r="E118" i="13"/>
  <c r="D118" i="13"/>
  <c r="C118" i="13"/>
  <c r="D108" i="13"/>
  <c r="Q95" i="13"/>
  <c r="P95" i="13"/>
  <c r="O95" i="13"/>
  <c r="N95" i="13"/>
  <c r="M95" i="13"/>
  <c r="L95" i="13"/>
  <c r="K95" i="13"/>
  <c r="J95" i="13"/>
  <c r="I95" i="13"/>
  <c r="H95" i="13"/>
  <c r="G95" i="13"/>
  <c r="F95" i="13"/>
  <c r="E95" i="13"/>
  <c r="D95" i="13"/>
  <c r="C95" i="13"/>
  <c r="Q92" i="13"/>
  <c r="P92" i="13"/>
  <c r="O92" i="13"/>
  <c r="N92" i="13"/>
  <c r="M92" i="13"/>
  <c r="L92" i="13"/>
  <c r="K92" i="13"/>
  <c r="J92" i="13"/>
  <c r="I92" i="13"/>
  <c r="H92" i="13"/>
  <c r="G92" i="13"/>
  <c r="F92" i="13"/>
  <c r="E92" i="13"/>
  <c r="D92" i="13"/>
  <c r="C92" i="13"/>
  <c r="Q91" i="13"/>
  <c r="P91" i="13"/>
  <c r="O91" i="13"/>
  <c r="N91" i="13"/>
  <c r="M91" i="13"/>
  <c r="L91" i="13"/>
  <c r="K91" i="13"/>
  <c r="J91" i="13"/>
  <c r="I91" i="13"/>
  <c r="H91" i="13"/>
  <c r="G91" i="13"/>
  <c r="F91" i="13"/>
  <c r="E91" i="13"/>
  <c r="D91" i="13"/>
  <c r="C91" i="13"/>
  <c r="Q83" i="13"/>
  <c r="P83" i="13"/>
  <c r="O83" i="13"/>
  <c r="N83" i="13"/>
  <c r="M83" i="13"/>
  <c r="L83" i="13"/>
  <c r="K83" i="13"/>
  <c r="J83" i="13"/>
  <c r="I83" i="13"/>
  <c r="H83" i="13"/>
  <c r="G83" i="13"/>
  <c r="F83" i="13"/>
  <c r="E83" i="13"/>
  <c r="D83" i="13"/>
  <c r="C83" i="13"/>
  <c r="Q80" i="13"/>
  <c r="P80" i="13"/>
  <c r="O80" i="13"/>
  <c r="N80" i="13"/>
  <c r="M80" i="13"/>
  <c r="L80" i="13"/>
  <c r="K80" i="13"/>
  <c r="J80" i="13"/>
  <c r="I80" i="13"/>
  <c r="H80" i="13"/>
  <c r="G80" i="13"/>
  <c r="F80" i="13"/>
  <c r="E80" i="13"/>
  <c r="D80" i="13"/>
  <c r="C80" i="13"/>
  <c r="D70" i="13"/>
  <c r="Q57" i="13"/>
  <c r="P57" i="13"/>
  <c r="O57" i="13"/>
  <c r="N57" i="13"/>
  <c r="M57" i="13"/>
  <c r="L57" i="13"/>
  <c r="K57" i="13"/>
  <c r="J57" i="13"/>
  <c r="I57" i="13"/>
  <c r="H57" i="13"/>
  <c r="G57" i="13"/>
  <c r="F57" i="13"/>
  <c r="E57" i="13"/>
  <c r="D57" i="13"/>
  <c r="C57" i="13"/>
  <c r="Q54" i="13"/>
  <c r="P54" i="13"/>
  <c r="O54" i="13"/>
  <c r="N54" i="13"/>
  <c r="M54" i="13"/>
  <c r="L54" i="13"/>
  <c r="K54" i="13"/>
  <c r="J54" i="13"/>
  <c r="I54" i="13"/>
  <c r="H54" i="13"/>
  <c r="G54" i="13"/>
  <c r="F54" i="13"/>
  <c r="E54" i="13"/>
  <c r="D54" i="13"/>
  <c r="C54" i="13"/>
  <c r="Q53" i="13"/>
  <c r="P53" i="13"/>
  <c r="O53" i="13"/>
  <c r="N53" i="13"/>
  <c r="M53" i="13"/>
  <c r="L53" i="13"/>
  <c r="K53" i="13"/>
  <c r="J53" i="13"/>
  <c r="I53" i="13"/>
  <c r="H53" i="13"/>
  <c r="G53" i="13"/>
  <c r="F53" i="13"/>
  <c r="E53" i="13"/>
  <c r="D53" i="13"/>
  <c r="C53" i="13"/>
  <c r="Q45" i="13"/>
  <c r="P45" i="13"/>
  <c r="O45" i="13"/>
  <c r="N45" i="13"/>
  <c r="M45" i="13"/>
  <c r="L45" i="13"/>
  <c r="K45" i="13"/>
  <c r="J45" i="13"/>
  <c r="I45" i="13"/>
  <c r="H45" i="13"/>
  <c r="G45" i="13"/>
  <c r="F45" i="13"/>
  <c r="E45" i="13"/>
  <c r="D45" i="13"/>
  <c r="C45" i="13"/>
  <c r="Q42" i="13"/>
  <c r="P42" i="13"/>
  <c r="O42" i="13"/>
  <c r="N42" i="13"/>
  <c r="M42" i="13"/>
  <c r="L42" i="13"/>
  <c r="K42" i="13"/>
  <c r="J42" i="13"/>
  <c r="I42" i="13"/>
  <c r="H42" i="13"/>
  <c r="G42" i="13"/>
  <c r="F42" i="13"/>
  <c r="E42" i="13"/>
  <c r="D42" i="13"/>
  <c r="C42" i="13"/>
  <c r="Q40" i="13"/>
  <c r="P40" i="13"/>
  <c r="O40" i="13"/>
  <c r="N40" i="13"/>
  <c r="M40" i="13"/>
  <c r="L40" i="13"/>
  <c r="K40" i="13"/>
  <c r="J40" i="13"/>
  <c r="I40" i="13"/>
  <c r="H40" i="13"/>
  <c r="G40" i="13"/>
  <c r="F40" i="13"/>
  <c r="E40" i="13"/>
  <c r="D40" i="13"/>
  <c r="C40" i="13"/>
  <c r="Q38" i="13"/>
  <c r="P38" i="13"/>
  <c r="O38" i="13"/>
  <c r="Q36" i="13"/>
  <c r="P36" i="13"/>
  <c r="O36" i="13"/>
  <c r="N36" i="13"/>
  <c r="M36" i="13"/>
  <c r="L36" i="13"/>
  <c r="K36" i="13"/>
  <c r="J36" i="13"/>
  <c r="I36" i="13"/>
  <c r="H36" i="13"/>
  <c r="G36" i="13"/>
  <c r="F36" i="13"/>
  <c r="E36" i="13"/>
  <c r="D36" i="13"/>
  <c r="C36" i="13"/>
  <c r="F18" i="13"/>
  <c r="E18" i="13"/>
  <c r="D18" i="13"/>
  <c r="C18" i="13"/>
  <c r="F17" i="13"/>
  <c r="E17" i="13"/>
  <c r="D17" i="13"/>
  <c r="C17" i="13"/>
  <c r="F16" i="13"/>
  <c r="E16" i="13"/>
  <c r="D16" i="13"/>
  <c r="C16" i="13"/>
  <c r="F15" i="13"/>
  <c r="E15" i="13"/>
  <c r="D15" i="13"/>
  <c r="C15" i="13"/>
  <c r="Q13" i="10" l="1"/>
  <c r="Q14" i="10" s="1"/>
  <c r="Q17" i="10"/>
  <c r="Q18" i="10" s="1"/>
  <c r="P13" i="10"/>
  <c r="P14" i="10" s="1"/>
  <c r="P17" i="10"/>
  <c r="P18" i="10" s="1"/>
  <c r="O13" i="10"/>
  <c r="O14" i="10" s="1"/>
  <c r="O17" i="10"/>
  <c r="O18" i="10" s="1"/>
  <c r="N13" i="10"/>
  <c r="N14" i="10" s="1"/>
  <c r="N17" i="10"/>
  <c r="N18" i="10" s="1"/>
  <c r="M13" i="10"/>
  <c r="M14" i="10" s="1"/>
  <c r="M17" i="10"/>
  <c r="M18" i="10" s="1"/>
  <c r="L13" i="10"/>
  <c r="L14" i="10" s="1"/>
  <c r="L17" i="10"/>
  <c r="L18" i="10" s="1"/>
  <c r="K13" i="10"/>
  <c r="K14" i="10" s="1"/>
  <c r="K17" i="10"/>
  <c r="K18" i="10" s="1"/>
  <c r="J13" i="10"/>
  <c r="J14" i="10" s="1"/>
  <c r="J17" i="10"/>
  <c r="J18" i="10" s="1"/>
  <c r="I13" i="10"/>
  <c r="I14" i="10" s="1"/>
  <c r="I17" i="10"/>
  <c r="I18" i="10" s="1"/>
  <c r="H13" i="10"/>
  <c r="H14" i="10" s="1"/>
  <c r="H17" i="10"/>
  <c r="H18" i="10" s="1"/>
  <c r="G13" i="10"/>
  <c r="G14" i="10" s="1"/>
  <c r="G17" i="10"/>
  <c r="G18" i="10" s="1"/>
  <c r="F13" i="10"/>
  <c r="F14" i="10" s="1"/>
  <c r="F17" i="10"/>
  <c r="F18" i="10" s="1"/>
  <c r="E13" i="10"/>
  <c r="E14" i="10" s="1"/>
  <c r="E17" i="10"/>
  <c r="E18" i="10" s="1"/>
  <c r="D13" i="10"/>
  <c r="D14" i="10" s="1"/>
  <c r="D17" i="10"/>
  <c r="D18" i="10" s="1"/>
  <c r="C13" i="10"/>
  <c r="C14" i="10" s="1"/>
  <c r="C17" i="10"/>
  <c r="C18" i="10" s="1"/>
  <c r="B12" i="7"/>
  <c r="B14" i="7"/>
  <c r="D22" i="10"/>
  <c r="H22" i="10"/>
  <c r="K22" i="10"/>
  <c r="N22" i="10"/>
  <c r="C22" i="10"/>
  <c r="G22" i="10"/>
  <c r="L22" i="10"/>
  <c r="P22" i="10"/>
  <c r="E22" i="10"/>
  <c r="I22" i="10"/>
  <c r="M22" i="10"/>
  <c r="Q22" i="10"/>
  <c r="F22" i="10"/>
  <c r="J22" i="10"/>
  <c r="O22" i="10"/>
  <c r="B9" i="5"/>
  <c r="F21" i="10"/>
  <c r="F25" i="10" s="1"/>
  <c r="J21" i="10"/>
  <c r="J25" i="10" s="1"/>
  <c r="O21" i="10"/>
  <c r="O25" i="10" s="1"/>
  <c r="C21" i="10"/>
  <c r="C25" i="10" s="1"/>
  <c r="G21" i="10"/>
  <c r="G25" i="10" s="1"/>
  <c r="K21" i="10"/>
  <c r="K25" i="10" s="1"/>
  <c r="N21" i="10"/>
  <c r="N25" i="10" s="1"/>
  <c r="E21" i="10"/>
  <c r="E25" i="10" s="1"/>
  <c r="H21" i="10"/>
  <c r="H25" i="10" s="1"/>
  <c r="L21" i="10"/>
  <c r="L25" i="10" s="1"/>
  <c r="P21" i="10"/>
  <c r="P25" i="10" s="1"/>
  <c r="D21" i="10"/>
  <c r="D25" i="10" s="1"/>
  <c r="I21" i="10"/>
  <c r="I25" i="10" s="1"/>
  <c r="M21" i="10"/>
  <c r="M25" i="10" s="1"/>
  <c r="Q21" i="10"/>
  <c r="Q25" i="10" s="1"/>
  <c r="B7" i="5"/>
  <c r="B10" i="5"/>
  <c r="B8" i="5"/>
  <c r="B17" i="5" s="1"/>
  <c r="B7" i="3"/>
  <c r="B9" i="3" s="1"/>
  <c r="B16" i="3"/>
  <c r="B18" i="3" s="1"/>
  <c r="H154" i="13"/>
  <c r="G154" i="13"/>
  <c r="F154" i="13"/>
  <c r="E154" i="13"/>
  <c r="M154" i="13"/>
  <c r="C154" i="13"/>
  <c r="D154" i="13"/>
  <c r="Q154" i="13"/>
  <c r="P154" i="13"/>
  <c r="O154" i="13"/>
  <c r="N154" i="13"/>
  <c r="L154" i="13"/>
  <c r="K154" i="13"/>
  <c r="J154" i="13"/>
  <c r="I154" i="13"/>
  <c r="Q116" i="13"/>
  <c r="C116" i="13"/>
  <c r="P116" i="13"/>
  <c r="O116" i="13"/>
  <c r="N116" i="13"/>
  <c r="M116" i="13"/>
  <c r="L116" i="13"/>
  <c r="D116" i="13"/>
  <c r="J116" i="13"/>
  <c r="I116" i="13"/>
  <c r="E116" i="13"/>
  <c r="F116" i="13"/>
  <c r="G116" i="13"/>
  <c r="K116" i="13"/>
  <c r="H116" i="13"/>
  <c r="P78" i="13"/>
  <c r="O78" i="13"/>
  <c r="N78" i="13"/>
  <c r="M78" i="13"/>
  <c r="L78" i="13"/>
  <c r="K78" i="13"/>
  <c r="J78" i="13"/>
  <c r="I78" i="13"/>
  <c r="H78" i="13"/>
  <c r="G78" i="13"/>
  <c r="F78" i="13"/>
  <c r="E78" i="13"/>
  <c r="C78" i="13"/>
  <c r="D78" i="13"/>
  <c r="Q78" i="13"/>
  <c r="N152" i="13"/>
  <c r="Q152" i="13"/>
  <c r="P152" i="13"/>
  <c r="O152" i="13"/>
  <c r="M152" i="13"/>
  <c r="L152" i="13"/>
  <c r="K152" i="13"/>
  <c r="J152" i="13"/>
  <c r="I152" i="13"/>
  <c r="H152" i="13"/>
  <c r="G152" i="13"/>
  <c r="F152" i="13"/>
  <c r="E152" i="13"/>
  <c r="D152" i="13"/>
  <c r="C152" i="13"/>
  <c r="I114" i="13"/>
  <c r="J114" i="13"/>
  <c r="K114" i="13"/>
  <c r="L114" i="13"/>
  <c r="P114" i="13"/>
  <c r="O114" i="13"/>
  <c r="C114" i="13"/>
  <c r="M114" i="13"/>
  <c r="N114" i="13"/>
  <c r="Q114" i="13"/>
  <c r="D114" i="13"/>
  <c r="E114" i="13"/>
  <c r="F114" i="13"/>
  <c r="G114" i="13"/>
  <c r="H114" i="13"/>
  <c r="J76" i="13"/>
  <c r="I76" i="13"/>
  <c r="H76" i="13"/>
  <c r="G76" i="13"/>
  <c r="D76" i="13"/>
  <c r="E76" i="13"/>
  <c r="N76" i="13"/>
  <c r="F76" i="13"/>
  <c r="C76" i="13"/>
  <c r="Q76" i="13"/>
  <c r="P76" i="13"/>
  <c r="O76" i="13"/>
  <c r="M76" i="13"/>
  <c r="L76" i="13"/>
  <c r="K76" i="13"/>
  <c r="D38" i="13"/>
  <c r="F38" i="13"/>
  <c r="E38" i="13"/>
  <c r="C38" i="13"/>
  <c r="J38" i="13"/>
  <c r="H38" i="13"/>
  <c r="I38" i="13"/>
  <c r="K38" i="13"/>
  <c r="L38" i="13"/>
  <c r="M38" i="13"/>
  <c r="N38" i="13"/>
  <c r="G38" i="13"/>
  <c r="P159" i="13"/>
  <c r="O159" i="13"/>
  <c r="N159" i="13"/>
  <c r="M159" i="13"/>
  <c r="L159" i="13"/>
  <c r="K159" i="13"/>
  <c r="D159" i="13"/>
  <c r="E159" i="13"/>
  <c r="F159" i="13"/>
  <c r="G159" i="13"/>
  <c r="I159" i="13"/>
  <c r="J159" i="13"/>
  <c r="H159" i="13"/>
  <c r="C159" i="13"/>
  <c r="Q159" i="13"/>
  <c r="C121" i="13"/>
  <c r="F121" i="13"/>
  <c r="D121" i="13"/>
  <c r="E121" i="13"/>
  <c r="G121" i="13"/>
  <c r="H121" i="13"/>
  <c r="I121" i="13"/>
  <c r="J121" i="13"/>
  <c r="K121" i="13"/>
  <c r="L121" i="13"/>
  <c r="M121" i="13"/>
  <c r="N121" i="13"/>
  <c r="O121" i="13"/>
  <c r="P121" i="13"/>
  <c r="Q121" i="13"/>
  <c r="C151" i="13"/>
  <c r="D151" i="13"/>
  <c r="E151" i="13"/>
  <c r="G151" i="13"/>
  <c r="H151" i="13"/>
  <c r="I151" i="13"/>
  <c r="J151" i="13"/>
  <c r="K151" i="13"/>
  <c r="L151" i="13"/>
  <c r="N151" i="13"/>
  <c r="O151" i="13"/>
  <c r="P151" i="13"/>
  <c r="F151" i="13"/>
  <c r="Q151" i="13"/>
  <c r="M151" i="13"/>
  <c r="M113" i="13"/>
  <c r="Q113" i="13"/>
  <c r="L113" i="13"/>
  <c r="N113" i="13"/>
  <c r="K113" i="13"/>
  <c r="I113" i="13"/>
  <c r="J113" i="13"/>
  <c r="O113" i="13"/>
  <c r="H113" i="13"/>
  <c r="G113" i="13"/>
  <c r="F113" i="13"/>
  <c r="E113" i="13"/>
  <c r="D113" i="13"/>
  <c r="C113" i="13"/>
  <c r="P113" i="13"/>
  <c r="M75" i="13"/>
  <c r="D75" i="13"/>
  <c r="Q75" i="13"/>
  <c r="P75" i="13"/>
  <c r="O75" i="13"/>
  <c r="N75" i="13"/>
  <c r="L75" i="13"/>
  <c r="K75" i="13"/>
  <c r="J75" i="13"/>
  <c r="I75" i="13"/>
  <c r="H75" i="13"/>
  <c r="G75" i="13"/>
  <c r="F75" i="13"/>
  <c r="C75" i="13"/>
  <c r="E75" i="13"/>
  <c r="Q37" i="13"/>
  <c r="N37" i="13"/>
  <c r="M37" i="13"/>
  <c r="L37" i="13"/>
  <c r="K37" i="13"/>
  <c r="J37" i="13"/>
  <c r="I37" i="13"/>
  <c r="O37" i="13"/>
  <c r="G37" i="13"/>
  <c r="F37" i="13"/>
  <c r="E37" i="13"/>
  <c r="D37" i="13"/>
  <c r="C37" i="13"/>
  <c r="P37" i="13"/>
  <c r="H37" i="13"/>
  <c r="Q16" i="10" l="1"/>
  <c r="Q19" i="10"/>
  <c r="Q38" i="10" s="1"/>
  <c r="U44" i="12" s="1"/>
  <c r="Q37" i="10"/>
  <c r="U43" i="12" s="1"/>
  <c r="P16" i="10"/>
  <c r="P19" i="10"/>
  <c r="P37" i="10"/>
  <c r="T43" i="12" s="1"/>
  <c r="O16" i="10"/>
  <c r="O19" i="10"/>
  <c r="O37" i="10"/>
  <c r="S43" i="12" s="1"/>
  <c r="N16" i="10"/>
  <c r="N19" i="10"/>
  <c r="N38" i="10" s="1"/>
  <c r="R44" i="12" s="1"/>
  <c r="N37" i="10"/>
  <c r="R43" i="12" s="1"/>
  <c r="M16" i="10"/>
  <c r="M19" i="10"/>
  <c r="M38" i="10" s="1"/>
  <c r="Q44" i="12" s="1"/>
  <c r="M37" i="10"/>
  <c r="Q43" i="12" s="1"/>
  <c r="L16" i="10"/>
  <c r="L37" i="10"/>
  <c r="P43" i="12" s="1"/>
  <c r="L19" i="10"/>
  <c r="L38" i="10" s="1"/>
  <c r="P44" i="12" s="1"/>
  <c r="K16" i="10"/>
  <c r="K19" i="10"/>
  <c r="K38" i="10" s="1"/>
  <c r="O44" i="12" s="1"/>
  <c r="K37" i="10"/>
  <c r="O43" i="12" s="1"/>
  <c r="J16" i="10"/>
  <c r="J19" i="10"/>
  <c r="J38" i="10" s="1"/>
  <c r="N44" i="12" s="1"/>
  <c r="J37" i="10"/>
  <c r="N43" i="12" s="1"/>
  <c r="I16" i="10"/>
  <c r="I37" i="10"/>
  <c r="M43" i="12" s="1"/>
  <c r="I19" i="10"/>
  <c r="I38" i="10" s="1"/>
  <c r="M44" i="12" s="1"/>
  <c r="H16" i="10"/>
  <c r="H37" i="10"/>
  <c r="L43" i="12" s="1"/>
  <c r="H19" i="10"/>
  <c r="H38" i="10" s="1"/>
  <c r="L44" i="12" s="1"/>
  <c r="G16" i="10"/>
  <c r="G19" i="10"/>
  <c r="G37" i="10"/>
  <c r="K43" i="12" s="1"/>
  <c r="F16" i="10"/>
  <c r="F19" i="10"/>
  <c r="F37" i="10"/>
  <c r="J43" i="12" s="1"/>
  <c r="E16" i="10"/>
  <c r="E37" i="10"/>
  <c r="I43" i="12" s="1"/>
  <c r="E19" i="10"/>
  <c r="E38" i="10" s="1"/>
  <c r="I44" i="12" s="1"/>
  <c r="D16" i="10"/>
  <c r="D37" i="10"/>
  <c r="H43" i="12" s="1"/>
  <c r="D19" i="10"/>
  <c r="C16" i="10"/>
  <c r="C19" i="10"/>
  <c r="C37" i="10"/>
  <c r="B15" i="7"/>
  <c r="F50" i="12"/>
  <c r="F98" i="12"/>
  <c r="F28" i="10"/>
  <c r="K28" i="10"/>
  <c r="N28" i="10"/>
  <c r="Q32" i="10"/>
  <c r="F47" i="12"/>
  <c r="F72" i="12"/>
  <c r="F73" i="12"/>
  <c r="E83" i="12"/>
  <c r="E84" i="12"/>
  <c r="F96" i="12"/>
  <c r="F97" i="12"/>
  <c r="C19" i="13"/>
  <c r="D19" i="13"/>
  <c r="E19" i="13"/>
  <c r="F19" i="13"/>
  <c r="B27" i="10"/>
  <c r="B33" i="10" s="1"/>
  <c r="C28" i="10"/>
  <c r="H28" i="10"/>
  <c r="L28" i="10"/>
  <c r="P28" i="10"/>
  <c r="T56" i="12" s="1"/>
  <c r="F60" i="12"/>
  <c r="F61" i="12"/>
  <c r="E82" i="12"/>
  <c r="F83" i="12"/>
  <c r="F84" i="12"/>
  <c r="F94" i="12"/>
  <c r="D28" i="10"/>
  <c r="G28" i="10"/>
  <c r="J28" i="10"/>
  <c r="O28" i="10"/>
  <c r="F48" i="12"/>
  <c r="F58" i="12"/>
  <c r="F70" i="12"/>
  <c r="F71" i="12"/>
  <c r="F74" i="12"/>
  <c r="E86" i="12"/>
  <c r="F86" i="12"/>
  <c r="F95" i="12"/>
  <c r="E28" i="10"/>
  <c r="I28" i="10"/>
  <c r="M28" i="10"/>
  <c r="Q28" i="10"/>
  <c r="B24" i="11"/>
  <c r="F46" i="12"/>
  <c r="F49" i="12"/>
  <c r="F59" i="12"/>
  <c r="F62" i="12"/>
  <c r="F82" i="12"/>
  <c r="E85" i="12"/>
  <c r="F85" i="12"/>
  <c r="B19" i="3"/>
  <c r="B20" i="3" s="1"/>
  <c r="J91" i="12"/>
  <c r="N91" i="12"/>
  <c r="S91" i="12"/>
  <c r="G91" i="12"/>
  <c r="K91" i="12"/>
  <c r="O56" i="12"/>
  <c r="O68" i="12"/>
  <c r="O91" i="12"/>
  <c r="R68" i="12"/>
  <c r="R91" i="12"/>
  <c r="R56" i="12"/>
  <c r="I68" i="12"/>
  <c r="I91" i="12"/>
  <c r="I56" i="12"/>
  <c r="L91" i="12"/>
  <c r="P91" i="12"/>
  <c r="T68" i="12"/>
  <c r="T91" i="12"/>
  <c r="H91" i="12"/>
  <c r="M91" i="12"/>
  <c r="M68" i="12"/>
  <c r="M56" i="12"/>
  <c r="Q68" i="12"/>
  <c r="Q91" i="12"/>
  <c r="Q56" i="12"/>
  <c r="U91" i="12"/>
  <c r="U56" i="12"/>
  <c r="U68" i="12"/>
  <c r="B18" i="5"/>
  <c r="E98" i="12"/>
  <c r="E96" i="12"/>
  <c r="E97" i="12"/>
  <c r="E95" i="12"/>
  <c r="E94" i="12"/>
  <c r="B11" i="3"/>
  <c r="B12" i="4"/>
  <c r="B14" i="4" s="1"/>
  <c r="B16" i="4" s="1"/>
  <c r="C153" i="13"/>
  <c r="C155" i="13" s="1"/>
  <c r="C165" i="13"/>
  <c r="C169" i="13" s="1"/>
  <c r="C166" i="13"/>
  <c r="C184" i="13"/>
  <c r="D153" i="13"/>
  <c r="D155" i="13" s="1"/>
  <c r="D165" i="13"/>
  <c r="D169" i="13" s="1"/>
  <c r="D166" i="13"/>
  <c r="E153" i="13"/>
  <c r="E155" i="13" s="1"/>
  <c r="E165" i="13"/>
  <c r="E169" i="13" s="1"/>
  <c r="E166" i="13"/>
  <c r="G153" i="13"/>
  <c r="G155" i="13" s="1"/>
  <c r="G165" i="13"/>
  <c r="G169" i="13" s="1"/>
  <c r="G166" i="13"/>
  <c r="H153" i="13"/>
  <c r="H155" i="13" s="1"/>
  <c r="H165" i="13"/>
  <c r="H166" i="13"/>
  <c r="I153" i="13"/>
  <c r="I155" i="13" s="1"/>
  <c r="I165" i="13"/>
  <c r="I169" i="13" s="1"/>
  <c r="I166" i="13"/>
  <c r="J153" i="13"/>
  <c r="J155" i="13" s="1"/>
  <c r="J165" i="13"/>
  <c r="J169" i="13" s="1"/>
  <c r="J166" i="13"/>
  <c r="K153" i="13"/>
  <c r="K155" i="13" s="1"/>
  <c r="K165" i="13"/>
  <c r="K169" i="13" s="1"/>
  <c r="K166" i="13"/>
  <c r="L153" i="13"/>
  <c r="L155" i="13" s="1"/>
  <c r="L165" i="13"/>
  <c r="L166" i="13"/>
  <c r="N153" i="13"/>
  <c r="N155" i="13" s="1"/>
  <c r="N165" i="13"/>
  <c r="N169" i="13" s="1"/>
  <c r="N166" i="13"/>
  <c r="O153" i="13"/>
  <c r="O155" i="13" s="1"/>
  <c r="O165" i="13"/>
  <c r="O169" i="13" s="1"/>
  <c r="O166" i="13"/>
  <c r="P153" i="13"/>
  <c r="P155" i="13" s="1"/>
  <c r="P165" i="13"/>
  <c r="P169" i="13" s="1"/>
  <c r="P166" i="13"/>
  <c r="F153" i="13"/>
  <c r="F155" i="13" s="1"/>
  <c r="F165" i="13"/>
  <c r="F166" i="13"/>
  <c r="Q153" i="13"/>
  <c r="Q155" i="13" s="1"/>
  <c r="Q165" i="13"/>
  <c r="Q169" i="13" s="1"/>
  <c r="Q166" i="13"/>
  <c r="M153" i="13"/>
  <c r="M155" i="13" s="1"/>
  <c r="M165" i="13"/>
  <c r="M169" i="13" s="1"/>
  <c r="M166" i="13"/>
  <c r="M115" i="13"/>
  <c r="M117" i="13" s="1"/>
  <c r="M127" i="13"/>
  <c r="M131" i="13" s="1"/>
  <c r="M128" i="13"/>
  <c r="Q115" i="13"/>
  <c r="Q117" i="13" s="1"/>
  <c r="Q127" i="13"/>
  <c r="Q128" i="13"/>
  <c r="L115" i="13"/>
  <c r="L117" i="13" s="1"/>
  <c r="L127" i="13"/>
  <c r="L128" i="13"/>
  <c r="N115" i="13"/>
  <c r="N117" i="13" s="1"/>
  <c r="N127" i="13"/>
  <c r="N128" i="13"/>
  <c r="K115" i="13"/>
  <c r="K117" i="13" s="1"/>
  <c r="K127" i="13"/>
  <c r="K128" i="13"/>
  <c r="I115" i="13"/>
  <c r="I117" i="13" s="1"/>
  <c r="I127" i="13"/>
  <c r="I128" i="13"/>
  <c r="J115" i="13"/>
  <c r="J117" i="13" s="1"/>
  <c r="J128" i="13"/>
  <c r="J127" i="13"/>
  <c r="J131" i="13" s="1"/>
  <c r="O115" i="13"/>
  <c r="O117" i="13" s="1"/>
  <c r="O127" i="13"/>
  <c r="O128" i="13"/>
  <c r="H115" i="13"/>
  <c r="H117" i="13" s="1"/>
  <c r="H128" i="13"/>
  <c r="H127" i="13"/>
  <c r="H131" i="13" s="1"/>
  <c r="G115" i="13"/>
  <c r="G117" i="13" s="1"/>
  <c r="G127" i="13"/>
  <c r="G128" i="13"/>
  <c r="F115" i="13"/>
  <c r="F117" i="13" s="1"/>
  <c r="F128" i="13"/>
  <c r="F127" i="13"/>
  <c r="F131" i="13" s="1"/>
  <c r="E115" i="13"/>
  <c r="E117" i="13" s="1"/>
  <c r="E127" i="13"/>
  <c r="E128" i="13"/>
  <c r="D115" i="13"/>
  <c r="D117" i="13" s="1"/>
  <c r="D128" i="13"/>
  <c r="D127" i="13"/>
  <c r="D131" i="13" s="1"/>
  <c r="C115" i="13"/>
  <c r="C117" i="13" s="1"/>
  <c r="C127" i="13"/>
  <c r="C146" i="13"/>
  <c r="C128" i="13"/>
  <c r="P115" i="13"/>
  <c r="P117" i="13" s="1"/>
  <c r="P127" i="13"/>
  <c r="P128" i="13"/>
  <c r="M77" i="13"/>
  <c r="M79" i="13" s="1"/>
  <c r="M89" i="13"/>
  <c r="M93" i="13" s="1"/>
  <c r="M90" i="13"/>
  <c r="D77" i="13"/>
  <c r="D79" i="13" s="1"/>
  <c r="D89" i="13"/>
  <c r="D90" i="13"/>
  <c r="Q77" i="13"/>
  <c r="Q79" i="13" s="1"/>
  <c r="Q89" i="13"/>
  <c r="Q93" i="13" s="1"/>
  <c r="Q90" i="13"/>
  <c r="P77" i="13"/>
  <c r="P79" i="13" s="1"/>
  <c r="P89" i="13"/>
  <c r="P93" i="13" s="1"/>
  <c r="P90" i="13"/>
  <c r="O77" i="13"/>
  <c r="O79" i="13" s="1"/>
  <c r="O89" i="13"/>
  <c r="O90" i="13"/>
  <c r="N77" i="13"/>
  <c r="N79" i="13" s="1"/>
  <c r="N89" i="13"/>
  <c r="N93" i="13" s="1"/>
  <c r="N90" i="13"/>
  <c r="L77" i="13"/>
  <c r="L79" i="13" s="1"/>
  <c r="L89" i="13"/>
  <c r="L93" i="13" s="1"/>
  <c r="L90" i="13"/>
  <c r="K77" i="13"/>
  <c r="K79" i="13" s="1"/>
  <c r="K89" i="13"/>
  <c r="K93" i="13" s="1"/>
  <c r="K90" i="13"/>
  <c r="J77" i="13"/>
  <c r="J79" i="13" s="1"/>
  <c r="J89" i="13"/>
  <c r="J93" i="13" s="1"/>
  <c r="J90" i="13"/>
  <c r="I77" i="13"/>
  <c r="I79" i="13" s="1"/>
  <c r="I89" i="13"/>
  <c r="I93" i="13" s="1"/>
  <c r="I90" i="13"/>
  <c r="H77" i="13"/>
  <c r="H79" i="13" s="1"/>
  <c r="H89" i="13"/>
  <c r="H90" i="13"/>
  <c r="G77" i="13"/>
  <c r="G79" i="13" s="1"/>
  <c r="G89" i="13"/>
  <c r="G90" i="13"/>
  <c r="F77" i="13"/>
  <c r="F79" i="13" s="1"/>
  <c r="F89" i="13"/>
  <c r="F90" i="13"/>
  <c r="C77" i="13"/>
  <c r="C79" i="13" s="1"/>
  <c r="C89" i="13"/>
  <c r="C90" i="13"/>
  <c r="C108" i="13"/>
  <c r="E77" i="13"/>
  <c r="E79" i="13" s="1"/>
  <c r="E89" i="13"/>
  <c r="E90" i="13"/>
  <c r="Q39" i="13"/>
  <c r="Q41" i="13" s="1"/>
  <c r="Q52" i="13"/>
  <c r="Q51" i="13"/>
  <c r="Q55" i="13" s="1"/>
  <c r="N39" i="13"/>
  <c r="N41" i="13" s="1"/>
  <c r="N51" i="13"/>
  <c r="N52" i="13"/>
  <c r="M52" i="13"/>
  <c r="M39" i="13"/>
  <c r="M41" i="13" s="1"/>
  <c r="M51" i="13"/>
  <c r="M55" i="13" s="1"/>
  <c r="L51" i="13"/>
  <c r="L39" i="13"/>
  <c r="L41" i="13" s="1"/>
  <c r="L52" i="13"/>
  <c r="K39" i="13"/>
  <c r="K41" i="13" s="1"/>
  <c r="K51" i="13"/>
  <c r="K52" i="13"/>
  <c r="J51" i="13"/>
  <c r="J39" i="13"/>
  <c r="J41" i="13" s="1"/>
  <c r="J52" i="13"/>
  <c r="I39" i="13"/>
  <c r="I41" i="13" s="1"/>
  <c r="I52" i="13"/>
  <c r="I51" i="13"/>
  <c r="I55" i="13" s="1"/>
  <c r="O51" i="13"/>
  <c r="O52" i="13"/>
  <c r="O39" i="13"/>
  <c r="O41" i="13" s="1"/>
  <c r="G51" i="13"/>
  <c r="G52" i="13"/>
  <c r="G39" i="13"/>
  <c r="G41" i="13" s="1"/>
  <c r="F51" i="13"/>
  <c r="F39" i="13"/>
  <c r="F41" i="13" s="1"/>
  <c r="F52" i="13"/>
  <c r="E39" i="13"/>
  <c r="E41" i="13" s="1"/>
  <c r="E51" i="13"/>
  <c r="E52" i="13"/>
  <c r="D52" i="13"/>
  <c r="D39" i="13"/>
  <c r="D41" i="13" s="1"/>
  <c r="D51" i="13"/>
  <c r="D55" i="13" s="1"/>
  <c r="C51" i="13"/>
  <c r="C70" i="13"/>
  <c r="C52" i="13"/>
  <c r="C39" i="13"/>
  <c r="C41" i="13" s="1"/>
  <c r="P39" i="13"/>
  <c r="P41" i="13" s="1"/>
  <c r="P52" i="13"/>
  <c r="P51" i="13"/>
  <c r="P55" i="13" s="1"/>
  <c r="H39" i="13"/>
  <c r="H41" i="13" s="1"/>
  <c r="H51" i="13"/>
  <c r="H52" i="13"/>
  <c r="O131" i="13" l="1"/>
  <c r="L131" i="13"/>
  <c r="I131" i="13"/>
  <c r="G131" i="13"/>
  <c r="N131" i="13"/>
  <c r="K131" i="13"/>
  <c r="P131" i="13"/>
  <c r="U50" i="12"/>
  <c r="U48" i="12"/>
  <c r="U49" i="12"/>
  <c r="U46" i="12"/>
  <c r="U47" i="12"/>
  <c r="T47" i="12"/>
  <c r="T48" i="12"/>
  <c r="T49" i="12"/>
  <c r="T46" i="12"/>
  <c r="T50" i="12"/>
  <c r="S46" i="12"/>
  <c r="S49" i="12"/>
  <c r="S50" i="12"/>
  <c r="S48" i="12"/>
  <c r="S47" i="12"/>
  <c r="R47" i="12"/>
  <c r="R48" i="12"/>
  <c r="R46" i="12"/>
  <c r="R49" i="12"/>
  <c r="R50" i="12"/>
  <c r="Q50" i="12"/>
  <c r="Q46" i="12"/>
  <c r="Q48" i="12"/>
  <c r="Q49" i="12"/>
  <c r="Q47" i="12"/>
  <c r="P46" i="12"/>
  <c r="P50" i="12"/>
  <c r="P47" i="12"/>
  <c r="P48" i="12"/>
  <c r="P49" i="12"/>
  <c r="O46" i="12"/>
  <c r="O48" i="12"/>
  <c r="O47" i="12"/>
  <c r="O49" i="12"/>
  <c r="O50" i="12"/>
  <c r="N49" i="12"/>
  <c r="N46" i="12"/>
  <c r="N50" i="12"/>
  <c r="N47" i="12"/>
  <c r="N48" i="12"/>
  <c r="M50" i="12"/>
  <c r="M49" i="12"/>
  <c r="M46" i="12"/>
  <c r="M48" i="12"/>
  <c r="M47" i="12"/>
  <c r="L47" i="12"/>
  <c r="L48" i="12"/>
  <c r="L46" i="12"/>
  <c r="L49" i="12"/>
  <c r="L50" i="12"/>
  <c r="K47" i="12"/>
  <c r="K50" i="12"/>
  <c r="K48" i="12"/>
  <c r="K46" i="12"/>
  <c r="K49" i="12"/>
  <c r="J47" i="12"/>
  <c r="J49" i="12"/>
  <c r="J48" i="12"/>
  <c r="J46" i="12"/>
  <c r="J50" i="12"/>
  <c r="I49" i="12"/>
  <c r="I50" i="12"/>
  <c r="I47" i="12"/>
  <c r="I48" i="12"/>
  <c r="I46" i="12"/>
  <c r="H48" i="12"/>
  <c r="H49" i="12"/>
  <c r="H47" i="12"/>
  <c r="H46" i="12"/>
  <c r="H50" i="12"/>
  <c r="G43" i="12"/>
  <c r="B22" i="11"/>
  <c r="B57" i="13"/>
  <c r="Q62" i="13"/>
  <c r="C21" i="13" s="1"/>
  <c r="B95" i="13"/>
  <c r="Q100" i="13"/>
  <c r="D21" i="13" s="1"/>
  <c r="Q138" i="13"/>
  <c r="E21" i="13" s="1"/>
  <c r="B133" i="13"/>
  <c r="B171" i="13"/>
  <c r="Q176" i="13"/>
  <c r="F21" i="13" s="1"/>
  <c r="B7" i="11"/>
  <c r="B34" i="10"/>
  <c r="B6" i="11"/>
  <c r="B12" i="3"/>
  <c r="B6" i="4"/>
  <c r="B7" i="4" s="1"/>
  <c r="B19" i="5"/>
  <c r="B20" i="5" s="1"/>
  <c r="B21" i="5" s="1"/>
  <c r="B22" i="5" s="1"/>
  <c r="C157" i="13"/>
  <c r="C158" i="13" s="1"/>
  <c r="C161" i="13"/>
  <c r="C162" i="13" s="1"/>
  <c r="D157" i="13"/>
  <c r="D158" i="13" s="1"/>
  <c r="D161" i="13"/>
  <c r="D162" i="13" s="1"/>
  <c r="E157" i="13"/>
  <c r="E158" i="13" s="1"/>
  <c r="E161" i="13"/>
  <c r="E162" i="13" s="1"/>
  <c r="G157" i="13"/>
  <c r="G158" i="13" s="1"/>
  <c r="G161" i="13"/>
  <c r="G162" i="13" s="1"/>
  <c r="H157" i="13"/>
  <c r="H158" i="13" s="1"/>
  <c r="H161" i="13"/>
  <c r="H162" i="13" s="1"/>
  <c r="I157" i="13"/>
  <c r="I158" i="13" s="1"/>
  <c r="I161" i="13"/>
  <c r="I162" i="13" s="1"/>
  <c r="J157" i="13"/>
  <c r="J158" i="13" s="1"/>
  <c r="J161" i="13"/>
  <c r="J162" i="13" s="1"/>
  <c r="K157" i="13"/>
  <c r="K158" i="13" s="1"/>
  <c r="K161" i="13"/>
  <c r="K162" i="13" s="1"/>
  <c r="L157" i="13"/>
  <c r="L158" i="13" s="1"/>
  <c r="L161" i="13"/>
  <c r="L162" i="13" s="1"/>
  <c r="N157" i="13"/>
  <c r="N158" i="13" s="1"/>
  <c r="N161" i="13"/>
  <c r="N162" i="13" s="1"/>
  <c r="O157" i="13"/>
  <c r="O158" i="13" s="1"/>
  <c r="O161" i="13"/>
  <c r="O162" i="13" s="1"/>
  <c r="P157" i="13"/>
  <c r="P158" i="13" s="1"/>
  <c r="P161" i="13"/>
  <c r="P162" i="13" s="1"/>
  <c r="F157" i="13"/>
  <c r="F158" i="13" s="1"/>
  <c r="F161" i="13"/>
  <c r="F162" i="13" s="1"/>
  <c r="Q157" i="13"/>
  <c r="Q158" i="13" s="1"/>
  <c r="Q161" i="13"/>
  <c r="Q162" i="13" s="1"/>
  <c r="M157" i="13"/>
  <c r="M158" i="13" s="1"/>
  <c r="M161" i="13"/>
  <c r="M162" i="13" s="1"/>
  <c r="M119" i="13"/>
  <c r="M120" i="13" s="1"/>
  <c r="M123" i="13"/>
  <c r="M124" i="13" s="1"/>
  <c r="Q119" i="13"/>
  <c r="Q120" i="13" s="1"/>
  <c r="Q123" i="13"/>
  <c r="Q124" i="13" s="1"/>
  <c r="L119" i="13"/>
  <c r="L120" i="13" s="1"/>
  <c r="L123" i="13"/>
  <c r="L124" i="13" s="1"/>
  <c r="N119" i="13"/>
  <c r="N120" i="13" s="1"/>
  <c r="N123" i="13"/>
  <c r="N124" i="13" s="1"/>
  <c r="K119" i="13"/>
  <c r="K120" i="13" s="1"/>
  <c r="K123" i="13"/>
  <c r="K124" i="13" s="1"/>
  <c r="I119" i="13"/>
  <c r="I120" i="13" s="1"/>
  <c r="I123" i="13"/>
  <c r="I124" i="13" s="1"/>
  <c r="J119" i="13"/>
  <c r="J120" i="13" s="1"/>
  <c r="J123" i="13"/>
  <c r="J124" i="13" s="1"/>
  <c r="O119" i="13"/>
  <c r="O120" i="13" s="1"/>
  <c r="O123" i="13"/>
  <c r="O124" i="13" s="1"/>
  <c r="H119" i="13"/>
  <c r="H120" i="13" s="1"/>
  <c r="H123" i="13"/>
  <c r="H124" i="13" s="1"/>
  <c r="G119" i="13"/>
  <c r="G120" i="13" s="1"/>
  <c r="G123" i="13"/>
  <c r="G124" i="13" s="1"/>
  <c r="F119" i="13"/>
  <c r="F120" i="13" s="1"/>
  <c r="F123" i="13"/>
  <c r="F124" i="13" s="1"/>
  <c r="E119" i="13"/>
  <c r="E120" i="13" s="1"/>
  <c r="E123" i="13"/>
  <c r="E124" i="13" s="1"/>
  <c r="D119" i="13"/>
  <c r="D120" i="13" s="1"/>
  <c r="D123" i="13"/>
  <c r="D124" i="13" s="1"/>
  <c r="C119" i="13"/>
  <c r="C120" i="13" s="1"/>
  <c r="C123" i="13"/>
  <c r="C124" i="13" s="1"/>
  <c r="P119" i="13"/>
  <c r="P120" i="13" s="1"/>
  <c r="P123" i="13"/>
  <c r="P124" i="13" s="1"/>
  <c r="M81" i="13"/>
  <c r="M82" i="13" s="1"/>
  <c r="M85" i="13"/>
  <c r="M86" i="13" s="1"/>
  <c r="D81" i="13"/>
  <c r="D82" i="13" s="1"/>
  <c r="D85" i="13"/>
  <c r="D86" i="13" s="1"/>
  <c r="Q81" i="13"/>
  <c r="Q82" i="13" s="1"/>
  <c r="Q85" i="13"/>
  <c r="Q86" i="13" s="1"/>
  <c r="P81" i="13"/>
  <c r="P82" i="13" s="1"/>
  <c r="P85" i="13"/>
  <c r="P86" i="13" s="1"/>
  <c r="O81" i="13"/>
  <c r="O82" i="13" s="1"/>
  <c r="O85" i="13"/>
  <c r="O86" i="13" s="1"/>
  <c r="N81" i="13"/>
  <c r="N82" i="13" s="1"/>
  <c r="N85" i="13"/>
  <c r="N86" i="13" s="1"/>
  <c r="L81" i="13"/>
  <c r="L82" i="13" s="1"/>
  <c r="L85" i="13"/>
  <c r="L86" i="13" s="1"/>
  <c r="K81" i="13"/>
  <c r="K82" i="13" s="1"/>
  <c r="K85" i="13"/>
  <c r="K86" i="13" s="1"/>
  <c r="J81" i="13"/>
  <c r="J82" i="13" s="1"/>
  <c r="J85" i="13"/>
  <c r="J86" i="13" s="1"/>
  <c r="I81" i="13"/>
  <c r="I82" i="13" s="1"/>
  <c r="I85" i="13"/>
  <c r="I86" i="13" s="1"/>
  <c r="H81" i="13"/>
  <c r="H82" i="13" s="1"/>
  <c r="H85" i="13"/>
  <c r="H86" i="13" s="1"/>
  <c r="G81" i="13"/>
  <c r="G82" i="13" s="1"/>
  <c r="G85" i="13"/>
  <c r="G86" i="13" s="1"/>
  <c r="F81" i="13"/>
  <c r="F82" i="13" s="1"/>
  <c r="F85" i="13"/>
  <c r="F86" i="13" s="1"/>
  <c r="C81" i="13"/>
  <c r="C82" i="13" s="1"/>
  <c r="C85" i="13"/>
  <c r="C86" i="13" s="1"/>
  <c r="E81" i="13"/>
  <c r="E82" i="13" s="1"/>
  <c r="E85" i="13"/>
  <c r="E86" i="13" s="1"/>
  <c r="Q47" i="13"/>
  <c r="Q48" i="13" s="1"/>
  <c r="Q43" i="13"/>
  <c r="Q44" i="13" s="1"/>
  <c r="N47" i="13"/>
  <c r="N48" i="13" s="1"/>
  <c r="N43" i="13"/>
  <c r="N44" i="13" s="1"/>
  <c r="M47" i="13"/>
  <c r="M48" i="13" s="1"/>
  <c r="M43" i="13"/>
  <c r="M44" i="13" s="1"/>
  <c r="L47" i="13"/>
  <c r="L48" i="13" s="1"/>
  <c r="L43" i="13"/>
  <c r="L44" i="13" s="1"/>
  <c r="K43" i="13"/>
  <c r="K44" i="13" s="1"/>
  <c r="K47" i="13"/>
  <c r="K48" i="13" s="1"/>
  <c r="J47" i="13"/>
  <c r="J48" i="13" s="1"/>
  <c r="J43" i="13"/>
  <c r="J44" i="13" s="1"/>
  <c r="I47" i="13"/>
  <c r="I48" i="13" s="1"/>
  <c r="I43" i="13"/>
  <c r="I44" i="13" s="1"/>
  <c r="O43" i="13"/>
  <c r="O44" i="13" s="1"/>
  <c r="O47" i="13"/>
  <c r="O48" i="13" s="1"/>
  <c r="G43" i="13"/>
  <c r="G44" i="13" s="1"/>
  <c r="G47" i="13"/>
  <c r="G48" i="13" s="1"/>
  <c r="F47" i="13"/>
  <c r="F48" i="13" s="1"/>
  <c r="F43" i="13"/>
  <c r="F44" i="13" s="1"/>
  <c r="E47" i="13"/>
  <c r="E48" i="13" s="1"/>
  <c r="E43" i="13"/>
  <c r="E44" i="13" s="1"/>
  <c r="D47" i="13"/>
  <c r="D48" i="13" s="1"/>
  <c r="D43" i="13"/>
  <c r="D44" i="13" s="1"/>
  <c r="C47" i="13"/>
  <c r="C48" i="13" s="1"/>
  <c r="C43" i="13"/>
  <c r="C44" i="13" s="1"/>
  <c r="P47" i="13"/>
  <c r="P48" i="13" s="1"/>
  <c r="P43" i="13"/>
  <c r="P44" i="13" s="1"/>
  <c r="H47" i="13"/>
  <c r="H48" i="13" s="1"/>
  <c r="H43" i="13"/>
  <c r="H44" i="13" s="1"/>
  <c r="G20" i="10"/>
  <c r="G38" i="10"/>
  <c r="K44" i="12" s="1"/>
  <c r="F20" i="10"/>
  <c r="F38" i="10"/>
  <c r="J44" i="12" s="1"/>
  <c r="E20" i="10"/>
  <c r="D20" i="10"/>
  <c r="D38" i="10"/>
  <c r="H44" i="12" s="1"/>
  <c r="C20" i="10"/>
  <c r="C38" i="10"/>
  <c r="H169" i="13"/>
  <c r="F169" i="13"/>
  <c r="Q131" i="13"/>
  <c r="C131" i="13"/>
  <c r="O93" i="13"/>
  <c r="H93" i="13"/>
  <c r="G93" i="13"/>
  <c r="F93" i="13"/>
  <c r="C93" i="13"/>
  <c r="E93" i="13"/>
  <c r="N55" i="13"/>
  <c r="L55" i="13"/>
  <c r="K55" i="13"/>
  <c r="J55" i="13"/>
  <c r="O55" i="13"/>
  <c r="G55" i="13"/>
  <c r="O38" i="10"/>
  <c r="S44" i="12" s="1"/>
  <c r="I20" i="10"/>
  <c r="L169" i="13"/>
  <c r="E131" i="13"/>
  <c r="F55" i="13"/>
  <c r="E55" i="13"/>
  <c r="C55" i="13"/>
  <c r="H55" i="13"/>
  <c r="Q20" i="10"/>
  <c r="P20" i="10"/>
  <c r="P38" i="10"/>
  <c r="T44" i="12" s="1"/>
  <c r="O20" i="10"/>
  <c r="N20" i="10"/>
  <c r="M20" i="10"/>
  <c r="L20" i="10"/>
  <c r="K20" i="10"/>
  <c r="J20" i="10"/>
  <c r="H20" i="10"/>
  <c r="D93" i="13"/>
  <c r="J68" i="12"/>
  <c r="J56" i="12"/>
  <c r="G56" i="12"/>
  <c r="G68" i="12"/>
  <c r="L68" i="12"/>
  <c r="L56" i="12"/>
  <c r="P68" i="12"/>
  <c r="P56" i="12"/>
  <c r="H68" i="12"/>
  <c r="H56" i="12"/>
  <c r="K56" i="12"/>
  <c r="K68" i="12"/>
  <c r="N56" i="12"/>
  <c r="N68" i="12"/>
  <c r="S56" i="12"/>
  <c r="S68" i="12"/>
  <c r="G47" i="12" l="1"/>
  <c r="G50" i="12"/>
  <c r="G48" i="12"/>
  <c r="G49" i="12"/>
  <c r="G46" i="12"/>
  <c r="H58" i="13"/>
  <c r="B63" i="13"/>
  <c r="C58" i="13"/>
  <c r="D58" i="13"/>
  <c r="E58" i="13"/>
  <c r="F58" i="13"/>
  <c r="G58" i="13"/>
  <c r="I58" i="13"/>
  <c r="J58" i="13"/>
  <c r="K58" i="13"/>
  <c r="L58" i="13"/>
  <c r="M58" i="13"/>
  <c r="N58" i="13"/>
  <c r="O58" i="13"/>
  <c r="P58" i="13"/>
  <c r="Q58" i="13"/>
  <c r="C96" i="13"/>
  <c r="D96" i="13"/>
  <c r="E96" i="13"/>
  <c r="F96" i="13"/>
  <c r="G96" i="13"/>
  <c r="H96" i="13"/>
  <c r="I96" i="13"/>
  <c r="J96" i="13"/>
  <c r="K96" i="13"/>
  <c r="L96" i="13"/>
  <c r="M96" i="13"/>
  <c r="N96" i="13"/>
  <c r="O96" i="13"/>
  <c r="P96" i="13"/>
  <c r="Q96" i="13"/>
  <c r="B101" i="13"/>
  <c r="N134" i="13"/>
  <c r="O134" i="13"/>
  <c r="P134" i="13"/>
  <c r="Q134" i="13"/>
  <c r="C134" i="13"/>
  <c r="D134" i="13"/>
  <c r="E134" i="13"/>
  <c r="F134" i="13"/>
  <c r="G134" i="13"/>
  <c r="H134" i="13"/>
  <c r="I134" i="13"/>
  <c r="J134" i="13"/>
  <c r="K134" i="13"/>
  <c r="L134" i="13"/>
  <c r="M134" i="13"/>
  <c r="B139" i="13"/>
  <c r="C172" i="13"/>
  <c r="D172" i="13"/>
  <c r="E172" i="13"/>
  <c r="F172" i="13"/>
  <c r="G172" i="13"/>
  <c r="H172" i="13"/>
  <c r="I172" i="13"/>
  <c r="J172" i="13"/>
  <c r="K172" i="13"/>
  <c r="L172" i="13"/>
  <c r="M172" i="13"/>
  <c r="N172" i="13"/>
  <c r="O172" i="13"/>
  <c r="P172" i="13"/>
  <c r="Q172" i="13"/>
  <c r="B177" i="13"/>
  <c r="B9" i="4"/>
  <c r="B18" i="4"/>
  <c r="C160" i="13"/>
  <c r="C163" i="13"/>
  <c r="C181" i="13"/>
  <c r="D160" i="13"/>
  <c r="D163" i="13"/>
  <c r="D181" i="13"/>
  <c r="E160" i="13"/>
  <c r="E163" i="13"/>
  <c r="E181" i="13"/>
  <c r="G160" i="13"/>
  <c r="G163" i="13"/>
  <c r="G181" i="13"/>
  <c r="H160" i="13"/>
  <c r="H163" i="13"/>
  <c r="H181" i="13"/>
  <c r="I160" i="13"/>
  <c r="I163" i="13"/>
  <c r="I181" i="13"/>
  <c r="J160" i="13"/>
  <c r="J163" i="13"/>
  <c r="J181" i="13"/>
  <c r="K160" i="13"/>
  <c r="K163" i="13"/>
  <c r="K181" i="13"/>
  <c r="L160" i="13"/>
  <c r="L163" i="13"/>
  <c r="L181" i="13"/>
  <c r="N160" i="13"/>
  <c r="N163" i="13"/>
  <c r="N182" i="13" s="1"/>
  <c r="N181" i="13"/>
  <c r="O160" i="13"/>
  <c r="O163" i="13"/>
  <c r="O182" i="13" s="1"/>
  <c r="O181" i="13"/>
  <c r="P160" i="13"/>
  <c r="P163" i="13"/>
  <c r="P182" i="13" s="1"/>
  <c r="P181" i="13"/>
  <c r="F160" i="13"/>
  <c r="F163" i="13"/>
  <c r="F181" i="13"/>
  <c r="Q160" i="13"/>
  <c r="Q163" i="13"/>
  <c r="Q182" i="13" s="1"/>
  <c r="Q181" i="13"/>
  <c r="M160" i="13"/>
  <c r="M163" i="13"/>
  <c r="M182" i="13" s="1"/>
  <c r="M181" i="13"/>
  <c r="M122" i="13"/>
  <c r="M143" i="13"/>
  <c r="M125" i="13"/>
  <c r="Q122" i="13"/>
  <c r="Q125" i="13"/>
  <c r="Q143" i="13"/>
  <c r="L122" i="13"/>
  <c r="L125" i="13"/>
  <c r="L143" i="13"/>
  <c r="N122" i="13"/>
  <c r="N125" i="13"/>
  <c r="N143" i="13"/>
  <c r="K122" i="13"/>
  <c r="K143" i="13"/>
  <c r="K125" i="13"/>
  <c r="I122" i="13"/>
  <c r="I143" i="13"/>
  <c r="I125" i="13"/>
  <c r="J122" i="13"/>
  <c r="J125" i="13"/>
  <c r="J143" i="13"/>
  <c r="O122" i="13"/>
  <c r="O143" i="13"/>
  <c r="O125" i="13"/>
  <c r="H122" i="13"/>
  <c r="H125" i="13"/>
  <c r="H143" i="13"/>
  <c r="G122" i="13"/>
  <c r="G143" i="13"/>
  <c r="G125" i="13"/>
  <c r="F122" i="13"/>
  <c r="F125" i="13"/>
  <c r="F143" i="13"/>
  <c r="E122" i="13"/>
  <c r="E143" i="13"/>
  <c r="E125" i="13"/>
  <c r="D122" i="13"/>
  <c r="D143" i="13"/>
  <c r="D125" i="13"/>
  <c r="C122" i="13"/>
  <c r="C143" i="13"/>
  <c r="C125" i="13"/>
  <c r="P122" i="13"/>
  <c r="P143" i="13"/>
  <c r="P125" i="13"/>
  <c r="M84" i="13"/>
  <c r="M87" i="13"/>
  <c r="M105" i="13"/>
  <c r="D84" i="13"/>
  <c r="D87" i="13"/>
  <c r="D105" i="13"/>
  <c r="Q84" i="13"/>
  <c r="Q87" i="13"/>
  <c r="Q105" i="13"/>
  <c r="P84" i="13"/>
  <c r="P87" i="13"/>
  <c r="P105" i="13"/>
  <c r="O84" i="13"/>
  <c r="O87" i="13"/>
  <c r="O105" i="13"/>
  <c r="N84" i="13"/>
  <c r="N87" i="13"/>
  <c r="N105" i="13"/>
  <c r="L84" i="13"/>
  <c r="L87" i="13"/>
  <c r="L105" i="13"/>
  <c r="K84" i="13"/>
  <c r="K87" i="13"/>
  <c r="K105" i="13"/>
  <c r="J84" i="13"/>
  <c r="J87" i="13"/>
  <c r="J105" i="13"/>
  <c r="I84" i="13"/>
  <c r="I87" i="13"/>
  <c r="I105" i="13"/>
  <c r="H84" i="13"/>
  <c r="H87" i="13"/>
  <c r="H105" i="13"/>
  <c r="G84" i="13"/>
  <c r="G87" i="13"/>
  <c r="G105" i="13"/>
  <c r="F84" i="13"/>
  <c r="F87" i="13"/>
  <c r="F105" i="13"/>
  <c r="C84" i="13"/>
  <c r="C87" i="13"/>
  <c r="C105" i="13"/>
  <c r="E84" i="13"/>
  <c r="E87" i="13"/>
  <c r="E105" i="13"/>
  <c r="Q49" i="13"/>
  <c r="Q46" i="13"/>
  <c r="Q50" i="13" s="1"/>
  <c r="Q56" i="13" s="1"/>
  <c r="Q67" i="13"/>
  <c r="N46" i="13"/>
  <c r="N49" i="13"/>
  <c r="N67" i="13"/>
  <c r="M67" i="13"/>
  <c r="M46" i="13"/>
  <c r="M49" i="13"/>
  <c r="L49" i="13"/>
  <c r="L46" i="13"/>
  <c r="L50" i="13" s="1"/>
  <c r="L56" i="13" s="1"/>
  <c r="L67" i="13"/>
  <c r="K46" i="13"/>
  <c r="K49" i="13"/>
  <c r="K67" i="13"/>
  <c r="J46" i="13"/>
  <c r="J67" i="13"/>
  <c r="J49" i="13"/>
  <c r="I67" i="13"/>
  <c r="I46" i="13"/>
  <c r="I49" i="13"/>
  <c r="O67" i="13"/>
  <c r="O46" i="13"/>
  <c r="O49" i="13"/>
  <c r="G46" i="13"/>
  <c r="G49" i="13"/>
  <c r="G67" i="13"/>
  <c r="F46" i="13"/>
  <c r="F67" i="13"/>
  <c r="F49" i="13"/>
  <c r="E67" i="13"/>
  <c r="E46" i="13"/>
  <c r="E49" i="13"/>
  <c r="D46" i="13"/>
  <c r="D49" i="13"/>
  <c r="D67" i="13"/>
  <c r="C46" i="13"/>
  <c r="C50" i="13" s="1"/>
  <c r="C56" i="13" s="1"/>
  <c r="C49" i="13"/>
  <c r="C67" i="13"/>
  <c r="P49" i="13"/>
  <c r="P46" i="13"/>
  <c r="P50" i="13" s="1"/>
  <c r="P56" i="13" s="1"/>
  <c r="P67" i="13"/>
  <c r="H49" i="13"/>
  <c r="H46" i="13"/>
  <c r="H50" i="13" s="1"/>
  <c r="H56" i="13" s="1"/>
  <c r="H67" i="13"/>
  <c r="K55" i="12"/>
  <c r="G26" i="10"/>
  <c r="K67" i="12"/>
  <c r="F26" i="10"/>
  <c r="J55" i="12"/>
  <c r="J67" i="12"/>
  <c r="I55" i="12"/>
  <c r="I67" i="12"/>
  <c r="E26" i="10"/>
  <c r="H55" i="12"/>
  <c r="D26" i="10"/>
  <c r="H67" i="12"/>
  <c r="G55" i="12"/>
  <c r="G67" i="12"/>
  <c r="C26" i="10"/>
  <c r="G44" i="12"/>
  <c r="B23" i="11"/>
  <c r="B25" i="11" s="1"/>
  <c r="M67" i="12"/>
  <c r="I26" i="10"/>
  <c r="M55" i="12"/>
  <c r="U55" i="12"/>
  <c r="U67" i="12"/>
  <c r="Q26" i="10"/>
  <c r="T55" i="12"/>
  <c r="T67" i="12"/>
  <c r="P26" i="10"/>
  <c r="S67" i="12"/>
  <c r="S55" i="12"/>
  <c r="O26" i="10"/>
  <c r="R55" i="12"/>
  <c r="N26" i="10"/>
  <c r="R67" i="12"/>
  <c r="M26" i="10"/>
  <c r="Q55" i="12"/>
  <c r="Q67" i="12"/>
  <c r="P55" i="12"/>
  <c r="L26" i="10"/>
  <c r="P67" i="12"/>
  <c r="K26" i="10"/>
  <c r="O55" i="12"/>
  <c r="O67" i="12"/>
  <c r="N55" i="12"/>
  <c r="N67" i="12"/>
  <c r="J26" i="10"/>
  <c r="L55" i="12"/>
  <c r="H26" i="10"/>
  <c r="L67" i="12"/>
  <c r="F20" i="13"/>
  <c r="E20" i="13"/>
  <c r="D20" i="13"/>
  <c r="C20" i="13"/>
  <c r="Q126" i="13" l="1"/>
  <c r="Q132" i="13" s="1"/>
  <c r="D47" i="12"/>
  <c r="C47" i="12"/>
  <c r="D50" i="12"/>
  <c r="C50" i="12"/>
  <c r="F12" i="12" s="1"/>
  <c r="C48" i="12"/>
  <c r="E12" i="12" s="1"/>
  <c r="D48" i="12"/>
  <c r="C49" i="12"/>
  <c r="D49" i="12"/>
  <c r="D46" i="12"/>
  <c r="C46" i="12"/>
  <c r="D12" i="12" s="1"/>
  <c r="L26" i="12" s="1"/>
  <c r="B64" i="13"/>
  <c r="B102" i="13"/>
  <c r="B140" i="13"/>
  <c r="B178" i="13"/>
  <c r="Q135" i="13"/>
  <c r="Q136" i="13" s="1"/>
  <c r="Q139" i="13" s="1"/>
  <c r="Q59" i="13"/>
  <c r="Q60" i="13" s="1"/>
  <c r="Q63" i="13"/>
  <c r="L59" i="13"/>
  <c r="L60" i="13" s="1"/>
  <c r="L63" i="13" s="1"/>
  <c r="C59" i="13"/>
  <c r="C60" i="13" s="1"/>
  <c r="C63" i="13"/>
  <c r="P59" i="13"/>
  <c r="P60" i="13" s="1"/>
  <c r="P63" i="13" s="1"/>
  <c r="H59" i="13"/>
  <c r="H60" i="13" s="1"/>
  <c r="H63" i="13" s="1"/>
  <c r="K61" i="12"/>
  <c r="K62" i="12"/>
  <c r="K58" i="12"/>
  <c r="K59" i="12"/>
  <c r="K60" i="12"/>
  <c r="K80" i="12"/>
  <c r="G29" i="10"/>
  <c r="G30" i="10" s="1"/>
  <c r="G33" i="10"/>
  <c r="K70" i="12"/>
  <c r="K72" i="12"/>
  <c r="K71" i="12"/>
  <c r="K73" i="12"/>
  <c r="K74" i="12"/>
  <c r="J80" i="12"/>
  <c r="F29" i="10"/>
  <c r="F30" i="10" s="1"/>
  <c r="F33" i="10"/>
  <c r="J60" i="12"/>
  <c r="J61" i="12"/>
  <c r="J58" i="12"/>
  <c r="J59" i="12"/>
  <c r="J62" i="12"/>
  <c r="J71" i="12"/>
  <c r="J72" i="12"/>
  <c r="J73" i="12"/>
  <c r="J70" i="12"/>
  <c r="J74" i="12"/>
  <c r="I61" i="12"/>
  <c r="I58" i="12"/>
  <c r="I59" i="12"/>
  <c r="I60" i="12"/>
  <c r="I62" i="12"/>
  <c r="I71" i="12"/>
  <c r="I70" i="12"/>
  <c r="I73" i="12"/>
  <c r="I74" i="12"/>
  <c r="I72" i="12"/>
  <c r="E29" i="10"/>
  <c r="E30" i="10" s="1"/>
  <c r="E33" i="10"/>
  <c r="I80" i="12"/>
  <c r="H61" i="12"/>
  <c r="H60" i="12"/>
  <c r="H62" i="12"/>
  <c r="H58" i="12"/>
  <c r="H59" i="12"/>
  <c r="D29" i="10"/>
  <c r="D30" i="10" s="1"/>
  <c r="D33" i="10"/>
  <c r="H80" i="12"/>
  <c r="H74" i="12"/>
  <c r="H70" i="12"/>
  <c r="H71" i="12"/>
  <c r="H73" i="12"/>
  <c r="H72" i="12"/>
  <c r="G62" i="12"/>
  <c r="G58" i="12"/>
  <c r="G59" i="12"/>
  <c r="G60" i="12"/>
  <c r="G61" i="12"/>
  <c r="G74" i="12"/>
  <c r="G70" i="12"/>
  <c r="G71" i="12"/>
  <c r="G72" i="12"/>
  <c r="G73" i="12"/>
  <c r="C29" i="10"/>
  <c r="C30" i="10" s="1"/>
  <c r="G80" i="12"/>
  <c r="C33" i="10"/>
  <c r="B28" i="11"/>
  <c r="B27" i="11"/>
  <c r="M70" i="12"/>
  <c r="M71" i="12"/>
  <c r="M74" i="12"/>
  <c r="M72" i="12"/>
  <c r="M73" i="12"/>
  <c r="I29" i="10"/>
  <c r="I30" i="10" s="1"/>
  <c r="I33" i="10"/>
  <c r="M80" i="12"/>
  <c r="M60" i="12"/>
  <c r="M59" i="12"/>
  <c r="M61" i="12"/>
  <c r="M62" i="12"/>
  <c r="M58" i="12"/>
  <c r="U61" i="12"/>
  <c r="U60" i="12"/>
  <c r="U62" i="12"/>
  <c r="U58" i="12"/>
  <c r="U59" i="12"/>
  <c r="U74" i="12"/>
  <c r="U70" i="12"/>
  <c r="U71" i="12"/>
  <c r="U73" i="12"/>
  <c r="U72" i="12"/>
  <c r="Q29" i="10"/>
  <c r="Q30" i="10" s="1"/>
  <c r="Q33" i="10"/>
  <c r="U80" i="12"/>
  <c r="T61" i="12"/>
  <c r="T62" i="12"/>
  <c r="T58" i="12"/>
  <c r="T59" i="12"/>
  <c r="T60" i="12"/>
  <c r="T74" i="12"/>
  <c r="T70" i="12"/>
  <c r="T73" i="12"/>
  <c r="T72" i="12"/>
  <c r="T71" i="12"/>
  <c r="T80" i="12"/>
  <c r="P29" i="10"/>
  <c r="P30" i="10" s="1"/>
  <c r="P33" i="10" s="1"/>
  <c r="S70" i="12"/>
  <c r="S71" i="12"/>
  <c r="S73" i="12"/>
  <c r="S72" i="12"/>
  <c r="S74" i="12"/>
  <c r="S61" i="12"/>
  <c r="S62" i="12"/>
  <c r="S60" i="12"/>
  <c r="S58" i="12"/>
  <c r="S59" i="12"/>
  <c r="S80" i="12"/>
  <c r="O29" i="10"/>
  <c r="O30" i="10" s="1"/>
  <c r="O33" i="10" s="1"/>
  <c r="R61" i="12"/>
  <c r="R58" i="12"/>
  <c r="R59" i="12"/>
  <c r="R60" i="12"/>
  <c r="R62" i="12"/>
  <c r="N29" i="10"/>
  <c r="N30" i="10" s="1"/>
  <c r="N33" i="10" s="1"/>
  <c r="R80" i="12"/>
  <c r="R72" i="12"/>
  <c r="R71" i="12"/>
  <c r="R74" i="12"/>
  <c r="R70" i="12"/>
  <c r="R73" i="12"/>
  <c r="Q80" i="12"/>
  <c r="M29" i="10"/>
  <c r="M30" i="10" s="1"/>
  <c r="M33" i="10" s="1"/>
  <c r="Q61" i="12"/>
  <c r="Q60" i="12"/>
  <c r="Q59" i="12"/>
  <c r="Q62" i="12"/>
  <c r="Q58" i="12"/>
  <c r="Q74" i="12"/>
  <c r="Q72" i="12"/>
  <c r="Q73" i="12"/>
  <c r="Q70" i="12"/>
  <c r="Q71" i="12"/>
  <c r="P62" i="12"/>
  <c r="P58" i="12"/>
  <c r="P60" i="12"/>
  <c r="P61" i="12"/>
  <c r="P59" i="12"/>
  <c r="P80" i="12"/>
  <c r="L29" i="10"/>
  <c r="L30" i="10" s="1"/>
  <c r="L33" i="10" s="1"/>
  <c r="P71" i="12"/>
  <c r="P73" i="12"/>
  <c r="P70" i="12"/>
  <c r="P72" i="12"/>
  <c r="P74" i="12"/>
  <c r="O80" i="12"/>
  <c r="K29" i="10"/>
  <c r="K30" i="10" s="1"/>
  <c r="K33" i="10" s="1"/>
  <c r="O62" i="12"/>
  <c r="O60" i="12"/>
  <c r="O61" i="12"/>
  <c r="O59" i="12"/>
  <c r="O58" i="12"/>
  <c r="O72" i="12"/>
  <c r="O70" i="12"/>
  <c r="O71" i="12"/>
  <c r="O74" i="12"/>
  <c r="O73" i="12"/>
  <c r="N61" i="12"/>
  <c r="N58" i="12"/>
  <c r="N60" i="12"/>
  <c r="N59" i="12"/>
  <c r="N62" i="12"/>
  <c r="N71" i="12"/>
  <c r="N73" i="12"/>
  <c r="N74" i="12"/>
  <c r="N70" i="12"/>
  <c r="N72" i="12"/>
  <c r="J29" i="10"/>
  <c r="J30" i="10" s="1"/>
  <c r="J33" i="10" s="1"/>
  <c r="N80" i="12"/>
  <c r="L61" i="12"/>
  <c r="L62" i="12"/>
  <c r="L58" i="12"/>
  <c r="L60" i="12"/>
  <c r="L59" i="12"/>
  <c r="H29" i="10"/>
  <c r="H30" i="10" s="1"/>
  <c r="H33" i="10" s="1"/>
  <c r="L80" i="12"/>
  <c r="L74" i="12"/>
  <c r="L70" i="12"/>
  <c r="L71" i="12"/>
  <c r="L72" i="12"/>
  <c r="L73" i="12"/>
  <c r="B20" i="4"/>
  <c r="B21" i="4" s="1"/>
  <c r="C164" i="13"/>
  <c r="C170" i="13" s="1"/>
  <c r="C182" i="13"/>
  <c r="E184" i="13" s="1"/>
  <c r="D164" i="13"/>
  <c r="D170" i="13" s="1"/>
  <c r="D182" i="13"/>
  <c r="E164" i="13"/>
  <c r="E170" i="13" s="1"/>
  <c r="E182" i="13"/>
  <c r="G164" i="13"/>
  <c r="G170" i="13" s="1"/>
  <c r="G182" i="13"/>
  <c r="H164" i="13"/>
  <c r="H170" i="13" s="1"/>
  <c r="H182" i="13"/>
  <c r="I164" i="13"/>
  <c r="I170" i="13" s="1"/>
  <c r="I182" i="13"/>
  <c r="J164" i="13"/>
  <c r="J170" i="13" s="1"/>
  <c r="J182" i="13"/>
  <c r="K164" i="13"/>
  <c r="K170" i="13" s="1"/>
  <c r="K182" i="13"/>
  <c r="L164" i="13"/>
  <c r="L170" i="13" s="1"/>
  <c r="L182" i="13"/>
  <c r="N164" i="13"/>
  <c r="N170" i="13" s="1"/>
  <c r="O164" i="13"/>
  <c r="O170" i="13" s="1"/>
  <c r="P164" i="13"/>
  <c r="P170" i="13" s="1"/>
  <c r="F164" i="13"/>
  <c r="F170" i="13" s="1"/>
  <c r="F182" i="13"/>
  <c r="F27" i="13" s="1"/>
  <c r="Q164" i="13"/>
  <c r="Q170" i="13" s="1"/>
  <c r="M164" i="13"/>
  <c r="M170" i="13" s="1"/>
  <c r="M126" i="13"/>
  <c r="M132" i="13" s="1"/>
  <c r="M144" i="13"/>
  <c r="Q106" i="13"/>
  <c r="P106" i="13"/>
  <c r="O106" i="13"/>
  <c r="N106" i="13"/>
  <c r="L106" i="13"/>
  <c r="F68" i="13"/>
  <c r="C68" i="13"/>
  <c r="H68" i="13"/>
  <c r="Q144" i="13"/>
  <c r="L126" i="13"/>
  <c r="L132" i="13" s="1"/>
  <c r="L144" i="13"/>
  <c r="N126" i="13"/>
  <c r="N132" i="13" s="1"/>
  <c r="N144" i="13"/>
  <c r="K126" i="13"/>
  <c r="K132" i="13" s="1"/>
  <c r="K144" i="13"/>
  <c r="I126" i="13"/>
  <c r="I132" i="13" s="1"/>
  <c r="I144" i="13"/>
  <c r="J126" i="13"/>
  <c r="J132" i="13" s="1"/>
  <c r="J144" i="13"/>
  <c r="O126" i="13"/>
  <c r="O132" i="13" s="1"/>
  <c r="O144" i="13"/>
  <c r="H126" i="13"/>
  <c r="H132" i="13" s="1"/>
  <c r="H144" i="13"/>
  <c r="G126" i="13"/>
  <c r="G132" i="13" s="1"/>
  <c r="G144" i="13"/>
  <c r="F126" i="13"/>
  <c r="F132" i="13" s="1"/>
  <c r="F144" i="13"/>
  <c r="E126" i="13"/>
  <c r="E132" i="13" s="1"/>
  <c r="E144" i="13"/>
  <c r="D126" i="13"/>
  <c r="D132" i="13" s="1"/>
  <c r="D144" i="13"/>
  <c r="C126" i="13"/>
  <c r="C132" i="13" s="1"/>
  <c r="C144" i="13"/>
  <c r="E146" i="13" s="1"/>
  <c r="P126" i="13"/>
  <c r="P132" i="13" s="1"/>
  <c r="P144" i="13"/>
  <c r="M88" i="13"/>
  <c r="M94" i="13" s="1"/>
  <c r="M106" i="13"/>
  <c r="D88" i="13"/>
  <c r="D94" i="13" s="1"/>
  <c r="D106" i="13"/>
  <c r="Q88" i="13"/>
  <c r="Q94" i="13" s="1"/>
  <c r="P88" i="13"/>
  <c r="P94" i="13" s="1"/>
  <c r="O88" i="13"/>
  <c r="O94" i="13" s="1"/>
  <c r="N88" i="13"/>
  <c r="N94" i="13" s="1"/>
  <c r="L88" i="13"/>
  <c r="L94" i="13" s="1"/>
  <c r="E68" i="13"/>
  <c r="P68" i="13"/>
  <c r="K88" i="13"/>
  <c r="K94" i="13" s="1"/>
  <c r="K106" i="13"/>
  <c r="J88" i="13"/>
  <c r="J94" i="13" s="1"/>
  <c r="J106" i="13"/>
  <c r="I88" i="13"/>
  <c r="I94" i="13" s="1"/>
  <c r="I106" i="13"/>
  <c r="H88" i="13"/>
  <c r="H94" i="13" s="1"/>
  <c r="H106" i="13"/>
  <c r="G88" i="13"/>
  <c r="G94" i="13" s="1"/>
  <c r="G106" i="13"/>
  <c r="F88" i="13"/>
  <c r="F94" i="13" s="1"/>
  <c r="F106" i="13"/>
  <c r="C88" i="13"/>
  <c r="C94" i="13" s="1"/>
  <c r="C106" i="13"/>
  <c r="E108" i="13" s="1"/>
  <c r="E88" i="13"/>
  <c r="E94" i="13" s="1"/>
  <c r="E106" i="13"/>
  <c r="Q68" i="13"/>
  <c r="N50" i="13"/>
  <c r="N56" i="13" s="1"/>
  <c r="N68" i="13"/>
  <c r="M50" i="13"/>
  <c r="M56" i="13" s="1"/>
  <c r="M68" i="13"/>
  <c r="L68" i="13"/>
  <c r="K50" i="13"/>
  <c r="K56" i="13" s="1"/>
  <c r="K68" i="13"/>
  <c r="J50" i="13"/>
  <c r="J56" i="13" s="1"/>
  <c r="J68" i="13"/>
  <c r="I50" i="13"/>
  <c r="I56" i="13" s="1"/>
  <c r="I68" i="13"/>
  <c r="O50" i="13"/>
  <c r="O56" i="13" s="1"/>
  <c r="O68" i="13"/>
  <c r="G50" i="13"/>
  <c r="G56" i="13" s="1"/>
  <c r="G68" i="13"/>
  <c r="F50" i="13"/>
  <c r="F56" i="13" s="1"/>
  <c r="E50" i="13"/>
  <c r="E56" i="13" s="1"/>
  <c r="D50" i="13"/>
  <c r="D56" i="13" s="1"/>
  <c r="D68" i="13"/>
  <c r="C64" i="13" l="1"/>
  <c r="D64" i="13" s="1"/>
  <c r="K82" i="12"/>
  <c r="K83" i="12"/>
  <c r="K85" i="12"/>
  <c r="K86" i="12"/>
  <c r="K84" i="12"/>
  <c r="G6" i="11"/>
  <c r="K92" i="12"/>
  <c r="J82" i="12"/>
  <c r="J85" i="12"/>
  <c r="J86" i="12"/>
  <c r="J84" i="12"/>
  <c r="J83" i="12"/>
  <c r="J92" i="12"/>
  <c r="F6" i="11"/>
  <c r="E6" i="11"/>
  <c r="I92" i="12"/>
  <c r="I82" i="12"/>
  <c r="I85" i="12"/>
  <c r="I86" i="12"/>
  <c r="I84" i="12"/>
  <c r="I83" i="12"/>
  <c r="D6" i="11"/>
  <c r="H92" i="12"/>
  <c r="H82" i="12"/>
  <c r="H85" i="12"/>
  <c r="H86" i="12"/>
  <c r="H84" i="12"/>
  <c r="H83" i="12"/>
  <c r="D62" i="12"/>
  <c r="C62" i="12"/>
  <c r="F13" i="12" s="1"/>
  <c r="G13" i="12" s="1"/>
  <c r="C58" i="12"/>
  <c r="D13" i="12" s="1"/>
  <c r="D58" i="12"/>
  <c r="C59" i="12"/>
  <c r="D59" i="12"/>
  <c r="D60" i="12"/>
  <c r="C60" i="12"/>
  <c r="E13" i="12" s="1"/>
  <c r="D61" i="12"/>
  <c r="C61" i="12"/>
  <c r="D74" i="12"/>
  <c r="C74" i="12"/>
  <c r="F14" i="12" s="1"/>
  <c r="D70" i="12"/>
  <c r="C70" i="12"/>
  <c r="D14" i="12" s="1"/>
  <c r="L28" i="12" s="1"/>
  <c r="C71" i="12"/>
  <c r="D71" i="12"/>
  <c r="C72" i="12"/>
  <c r="E14" i="12" s="1"/>
  <c r="D72" i="12"/>
  <c r="C73" i="12"/>
  <c r="D73" i="12"/>
  <c r="G82" i="12"/>
  <c r="G85" i="12"/>
  <c r="G86" i="12"/>
  <c r="G84" i="12"/>
  <c r="G83" i="12"/>
  <c r="C34" i="10"/>
  <c r="P7" i="11"/>
  <c r="L7" i="11"/>
  <c r="G7" i="11"/>
  <c r="F7" i="11"/>
  <c r="M7" i="11"/>
  <c r="Q7" i="11"/>
  <c r="D7" i="11"/>
  <c r="O7" i="11"/>
  <c r="H7" i="11"/>
  <c r="N7" i="11"/>
  <c r="K7" i="11"/>
  <c r="I7" i="11"/>
  <c r="J7" i="11"/>
  <c r="C7" i="11"/>
  <c r="B16" i="11" s="1"/>
  <c r="E7" i="11"/>
  <c r="G92" i="12"/>
  <c r="C6" i="11"/>
  <c r="M92" i="12"/>
  <c r="I6" i="11"/>
  <c r="M82" i="12"/>
  <c r="M85" i="12"/>
  <c r="M86" i="12"/>
  <c r="M84" i="12"/>
  <c r="M83" i="12"/>
  <c r="U92" i="12"/>
  <c r="Q6" i="11"/>
  <c r="U82" i="12"/>
  <c r="U85" i="12"/>
  <c r="U86" i="12"/>
  <c r="U84" i="12"/>
  <c r="U83" i="12"/>
  <c r="T92" i="12"/>
  <c r="P6" i="11"/>
  <c r="T82" i="12"/>
  <c r="T85" i="12"/>
  <c r="T86" i="12"/>
  <c r="T84" i="12"/>
  <c r="T83" i="12"/>
  <c r="O6" i="11"/>
  <c r="S92" i="12"/>
  <c r="S82" i="12"/>
  <c r="S85" i="12"/>
  <c r="S86" i="12"/>
  <c r="S84" i="12"/>
  <c r="S83" i="12"/>
  <c r="N6" i="11"/>
  <c r="R92" i="12"/>
  <c r="R82" i="12"/>
  <c r="R85" i="12"/>
  <c r="R86" i="12"/>
  <c r="R84" i="12"/>
  <c r="R83" i="12"/>
  <c r="Q82" i="12"/>
  <c r="Q85" i="12"/>
  <c r="Q86" i="12"/>
  <c r="Q84" i="12"/>
  <c r="Q83" i="12"/>
  <c r="M6" i="11"/>
  <c r="Q92" i="12"/>
  <c r="P92" i="12"/>
  <c r="L6" i="11"/>
  <c r="P82" i="12"/>
  <c r="P85" i="12"/>
  <c r="P86" i="12"/>
  <c r="P84" i="12"/>
  <c r="P83" i="12"/>
  <c r="O82" i="12"/>
  <c r="O85" i="12"/>
  <c r="O86" i="12"/>
  <c r="O84" i="12"/>
  <c r="O83" i="12"/>
  <c r="K6" i="11"/>
  <c r="O92" i="12"/>
  <c r="J6" i="11"/>
  <c r="N92" i="12"/>
  <c r="N82" i="12"/>
  <c r="N83" i="12"/>
  <c r="N85" i="12"/>
  <c r="N86" i="12"/>
  <c r="N84" i="12"/>
  <c r="H6" i="11"/>
  <c r="L92" i="12"/>
  <c r="L82" i="12"/>
  <c r="L85" i="12"/>
  <c r="L86" i="12"/>
  <c r="L84" i="12"/>
  <c r="L83" i="12"/>
  <c r="C173" i="13"/>
  <c r="C174" i="13" s="1"/>
  <c r="C177" i="13" s="1"/>
  <c r="C178" i="13" s="1"/>
  <c r="D173" i="13"/>
  <c r="D174" i="13" s="1"/>
  <c r="D177" i="13" s="1"/>
  <c r="E173" i="13"/>
  <c r="E174" i="13" s="1"/>
  <c r="E177" i="13" s="1"/>
  <c r="G173" i="13"/>
  <c r="G174" i="13" s="1"/>
  <c r="G177" i="13" s="1"/>
  <c r="H173" i="13"/>
  <c r="H174" i="13" s="1"/>
  <c r="H177" i="13" s="1"/>
  <c r="I173" i="13"/>
  <c r="I174" i="13" s="1"/>
  <c r="I177" i="13" s="1"/>
  <c r="J173" i="13"/>
  <c r="J174" i="13" s="1"/>
  <c r="J177" i="13" s="1"/>
  <c r="K173" i="13"/>
  <c r="K174" i="13" s="1"/>
  <c r="K177" i="13" s="1"/>
  <c r="L173" i="13"/>
  <c r="L174" i="13" s="1"/>
  <c r="L177" i="13" s="1"/>
  <c r="N173" i="13"/>
  <c r="N174" i="13" s="1"/>
  <c r="N177" i="13" s="1"/>
  <c r="O173" i="13"/>
  <c r="O174" i="13" s="1"/>
  <c r="O177" i="13" s="1"/>
  <c r="P173" i="13"/>
  <c r="P174" i="13" s="1"/>
  <c r="P177" i="13" s="1"/>
  <c r="F173" i="13"/>
  <c r="F174" i="13" s="1"/>
  <c r="F177" i="13" s="1"/>
  <c r="Q173" i="13"/>
  <c r="Q174" i="13" s="1"/>
  <c r="Q177" i="13" s="1"/>
  <c r="M173" i="13"/>
  <c r="M174" i="13" s="1"/>
  <c r="M177" i="13" s="1"/>
  <c r="M135" i="13"/>
  <c r="M136" i="13" s="1"/>
  <c r="M139" i="13" s="1"/>
  <c r="E70" i="13"/>
  <c r="C27" i="13"/>
  <c r="L135" i="13"/>
  <c r="L136" i="13" s="1"/>
  <c r="L139" i="13" s="1"/>
  <c r="N135" i="13"/>
  <c r="N136" i="13" s="1"/>
  <c r="N139" i="13" s="1"/>
  <c r="K135" i="13"/>
  <c r="K136" i="13" s="1"/>
  <c r="K139" i="13" s="1"/>
  <c r="I135" i="13"/>
  <c r="I136" i="13" s="1"/>
  <c r="I139" i="13" s="1"/>
  <c r="J135" i="13"/>
  <c r="J136" i="13" s="1"/>
  <c r="J139" i="13" s="1"/>
  <c r="O135" i="13"/>
  <c r="O136" i="13" s="1"/>
  <c r="O139" i="13" s="1"/>
  <c r="H135" i="13"/>
  <c r="H136" i="13" s="1"/>
  <c r="H139" i="13" s="1"/>
  <c r="G135" i="13"/>
  <c r="G136" i="13" s="1"/>
  <c r="G139" i="13" s="1"/>
  <c r="F135" i="13"/>
  <c r="F136" i="13" s="1"/>
  <c r="F139" i="13" s="1"/>
  <c r="E135" i="13"/>
  <c r="E136" i="13" s="1"/>
  <c r="E139" i="13" s="1"/>
  <c r="D135" i="13"/>
  <c r="D136" i="13" s="1"/>
  <c r="D139" i="13" s="1"/>
  <c r="C135" i="13"/>
  <c r="C136" i="13" s="1"/>
  <c r="C139" i="13" s="1"/>
  <c r="C140" i="13" s="1"/>
  <c r="P135" i="13"/>
  <c r="P136" i="13" s="1"/>
  <c r="P139" i="13" s="1"/>
  <c r="M97" i="13"/>
  <c r="M98" i="13" s="1"/>
  <c r="M101" i="13" s="1"/>
  <c r="D97" i="13"/>
  <c r="D98" i="13" s="1"/>
  <c r="D101" i="13" s="1"/>
  <c r="Q97" i="13"/>
  <c r="Q98" i="13" s="1"/>
  <c r="Q101" i="13" s="1"/>
  <c r="P97" i="13"/>
  <c r="P98" i="13" s="1"/>
  <c r="P101" i="13" s="1"/>
  <c r="O97" i="13"/>
  <c r="O98" i="13" s="1"/>
  <c r="O101" i="13" s="1"/>
  <c r="N97" i="13"/>
  <c r="N98" i="13" s="1"/>
  <c r="N101" i="13" s="1"/>
  <c r="L97" i="13"/>
  <c r="L98" i="13" s="1"/>
  <c r="L101" i="13" s="1"/>
  <c r="K97" i="13"/>
  <c r="K98" i="13" s="1"/>
  <c r="K101" i="13" s="1"/>
  <c r="J97" i="13"/>
  <c r="J98" i="13" s="1"/>
  <c r="J101" i="13" s="1"/>
  <c r="I97" i="13"/>
  <c r="I98" i="13" s="1"/>
  <c r="I101" i="13" s="1"/>
  <c r="H97" i="13"/>
  <c r="H98" i="13" s="1"/>
  <c r="H101" i="13" s="1"/>
  <c r="G97" i="13"/>
  <c r="G98" i="13" s="1"/>
  <c r="G101" i="13" s="1"/>
  <c r="F97" i="13"/>
  <c r="F98" i="13" s="1"/>
  <c r="F101" i="13" s="1"/>
  <c r="C97" i="13"/>
  <c r="C98" i="13" s="1"/>
  <c r="C101" i="13" s="1"/>
  <c r="C102" i="13" s="1"/>
  <c r="E97" i="13"/>
  <c r="E98" i="13" s="1"/>
  <c r="E101" i="13" s="1"/>
  <c r="N59" i="13"/>
  <c r="N60" i="13" s="1"/>
  <c r="N63" i="13" s="1"/>
  <c r="M59" i="13"/>
  <c r="M60" i="13" s="1"/>
  <c r="M63" i="13" s="1"/>
  <c r="K59" i="13"/>
  <c r="K60" i="13" s="1"/>
  <c r="K63" i="13" s="1"/>
  <c r="J59" i="13"/>
  <c r="J60" i="13" s="1"/>
  <c r="J63" i="13"/>
  <c r="I59" i="13"/>
  <c r="I60" i="13" s="1"/>
  <c r="I63" i="13" s="1"/>
  <c r="O59" i="13"/>
  <c r="O60" i="13" s="1"/>
  <c r="O63" i="13" s="1"/>
  <c r="G59" i="13"/>
  <c r="G60" i="13" s="1"/>
  <c r="G63" i="13" s="1"/>
  <c r="F59" i="13"/>
  <c r="F60" i="13" s="1"/>
  <c r="F63" i="13"/>
  <c r="E59" i="13"/>
  <c r="E60" i="13" s="1"/>
  <c r="E63" i="13" s="1"/>
  <c r="D59" i="13"/>
  <c r="D60" i="13" s="1"/>
  <c r="D63" i="13"/>
  <c r="G12" i="12"/>
  <c r="E27" i="13"/>
  <c r="D27" i="13"/>
  <c r="K97" i="12" l="1"/>
  <c r="K98" i="12"/>
  <c r="K94" i="12"/>
  <c r="K95" i="12"/>
  <c r="K96" i="12"/>
  <c r="J98" i="12"/>
  <c r="J97" i="12"/>
  <c r="J95" i="12"/>
  <c r="J96" i="12"/>
  <c r="J94" i="12"/>
  <c r="I98" i="12"/>
  <c r="I97" i="12"/>
  <c r="I96" i="12"/>
  <c r="I95" i="12"/>
  <c r="I94" i="12"/>
  <c r="H96" i="12"/>
  <c r="H97" i="12"/>
  <c r="H95" i="12"/>
  <c r="H94" i="12"/>
  <c r="H98" i="12"/>
  <c r="M27" i="12"/>
  <c r="C82" i="12"/>
  <c r="D15" i="12" s="1"/>
  <c r="D82" i="12"/>
  <c r="D85" i="12"/>
  <c r="C85" i="12"/>
  <c r="D86" i="12"/>
  <c r="C86" i="12"/>
  <c r="F15" i="12" s="1"/>
  <c r="G15" i="12" s="1"/>
  <c r="D84" i="12"/>
  <c r="C84" i="12"/>
  <c r="E15" i="12" s="1"/>
  <c r="D83" i="12"/>
  <c r="C83" i="12"/>
  <c r="D34" i="10"/>
  <c r="E34" i="10" s="1"/>
  <c r="F34" i="10" s="1"/>
  <c r="G34" i="10" s="1"/>
  <c r="H34" i="10" s="1"/>
  <c r="I34" i="10" s="1"/>
  <c r="J34" i="10" s="1"/>
  <c r="K34" i="10" s="1"/>
  <c r="L34" i="10" s="1"/>
  <c r="M34" i="10" s="1"/>
  <c r="N34" i="10" s="1"/>
  <c r="G97" i="12"/>
  <c r="G98" i="12"/>
  <c r="G95" i="12"/>
  <c r="G96" i="12"/>
  <c r="G94" i="12"/>
  <c r="B13" i="11"/>
  <c r="B14" i="11"/>
  <c r="M97" i="12"/>
  <c r="M96" i="12"/>
  <c r="M95" i="12"/>
  <c r="M98" i="12"/>
  <c r="M94" i="12"/>
  <c r="U94" i="12"/>
  <c r="U97" i="12"/>
  <c r="U98" i="12"/>
  <c r="U96" i="12"/>
  <c r="U95" i="12"/>
  <c r="T97" i="12"/>
  <c r="T94" i="12"/>
  <c r="T98" i="12"/>
  <c r="T96" i="12"/>
  <c r="T95" i="12"/>
  <c r="S95" i="12"/>
  <c r="S96" i="12"/>
  <c r="S94" i="12"/>
  <c r="S98" i="12"/>
  <c r="S97" i="12"/>
  <c r="R98" i="12"/>
  <c r="R97" i="12"/>
  <c r="R96" i="12"/>
  <c r="R94" i="12"/>
  <c r="R95" i="12"/>
  <c r="Q95" i="12"/>
  <c r="Q94" i="12"/>
  <c r="Q97" i="12"/>
  <c r="Q96" i="12"/>
  <c r="Q98" i="12"/>
  <c r="P97" i="12"/>
  <c r="P95" i="12"/>
  <c r="P96" i="12"/>
  <c r="P94" i="12"/>
  <c r="P98" i="12"/>
  <c r="O97" i="12"/>
  <c r="O94" i="12"/>
  <c r="O95" i="12"/>
  <c r="O98" i="12"/>
  <c r="O96" i="12"/>
  <c r="N97" i="12"/>
  <c r="N95" i="12"/>
  <c r="N94" i="12"/>
  <c r="N98" i="12"/>
  <c r="N96" i="12"/>
  <c r="L97" i="12"/>
  <c r="L94" i="12"/>
  <c r="L95" i="12"/>
  <c r="L98" i="12"/>
  <c r="L96" i="12"/>
  <c r="B179" i="13"/>
  <c r="F25" i="13" s="1"/>
  <c r="B180" i="13"/>
  <c r="F26" i="13" s="1"/>
  <c r="B141" i="13"/>
  <c r="E25" i="13" s="1"/>
  <c r="B142" i="13"/>
  <c r="E26" i="13" s="1"/>
  <c r="B104" i="13"/>
  <c r="D26" i="13" s="1"/>
  <c r="B103" i="13"/>
  <c r="D25" i="13" s="1"/>
  <c r="M26" i="12"/>
  <c r="L27" i="12"/>
  <c r="G14" i="12"/>
  <c r="F28" i="13"/>
  <c r="D178" i="13"/>
  <c r="E178" i="13" s="1"/>
  <c r="F178" i="13" s="1"/>
  <c r="G178" i="13" s="1"/>
  <c r="H178" i="13" s="1"/>
  <c r="I178" i="13" s="1"/>
  <c r="J178" i="13" s="1"/>
  <c r="K178" i="13" s="1"/>
  <c r="L178" i="13" s="1"/>
  <c r="M178" i="13" s="1"/>
  <c r="N178" i="13" s="1"/>
  <c r="O178" i="13" s="1"/>
  <c r="P178" i="13" s="1"/>
  <c r="Q178" i="13" s="1"/>
  <c r="D140" i="13"/>
  <c r="D102" i="13"/>
  <c r="E64" i="13"/>
  <c r="B65" i="13"/>
  <c r="C25" i="13" s="1"/>
  <c r="B66" i="13"/>
  <c r="C26" i="13" s="1"/>
  <c r="M29" i="12" l="1"/>
  <c r="D97" i="12"/>
  <c r="C97" i="12"/>
  <c r="D98" i="12"/>
  <c r="C98" i="12"/>
  <c r="F16" i="12" s="1"/>
  <c r="C95" i="12"/>
  <c r="D95" i="12"/>
  <c r="D96" i="12"/>
  <c r="C96" i="12"/>
  <c r="E16" i="12" s="1"/>
  <c r="C94" i="12"/>
  <c r="D16" i="12" s="1"/>
  <c r="L30" i="12" s="1"/>
  <c r="D94" i="12"/>
  <c r="M28" i="12"/>
  <c r="F64" i="13"/>
  <c r="L29" i="12"/>
  <c r="O34" i="10"/>
  <c r="P34" i="10" s="1"/>
  <c r="Q34" i="10" s="1"/>
  <c r="B15" i="11"/>
  <c r="E140" i="13"/>
  <c r="F140" i="13" s="1"/>
  <c r="G140" i="13" s="1"/>
  <c r="H140" i="13" s="1"/>
  <c r="I140" i="13" s="1"/>
  <c r="J140" i="13" s="1"/>
  <c r="K140" i="13" s="1"/>
  <c r="L140" i="13" s="1"/>
  <c r="M140" i="13" s="1"/>
  <c r="N140" i="13" s="1"/>
  <c r="O140" i="13" s="1"/>
  <c r="P140" i="13" s="1"/>
  <c r="Q140" i="13" s="1"/>
  <c r="E28" i="13"/>
  <c r="E102" i="13"/>
  <c r="F102" i="13" s="1"/>
  <c r="G102" i="13" s="1"/>
  <c r="H102" i="13" s="1"/>
  <c r="I102" i="13" s="1"/>
  <c r="J102" i="13" s="1"/>
  <c r="K102" i="13" s="1"/>
  <c r="L102" i="13" s="1"/>
  <c r="M102" i="13" s="1"/>
  <c r="N102" i="13" s="1"/>
  <c r="O102" i="13" s="1"/>
  <c r="P102" i="13" s="1"/>
  <c r="Q102" i="13" s="1"/>
  <c r="D28" i="13"/>
  <c r="G16" i="12" l="1"/>
  <c r="G64" i="13"/>
  <c r="H64" i="13" s="1"/>
  <c r="I64" i="13" s="1"/>
  <c r="J64" i="13" s="1"/>
  <c r="K64" i="13" s="1"/>
  <c r="L64" i="13" s="1"/>
  <c r="M64" i="13" s="1"/>
  <c r="N64" i="13" s="1"/>
  <c r="O64" i="13" s="1"/>
  <c r="P64" i="13" s="1"/>
  <c r="Q64" i="13" s="1"/>
  <c r="C28" i="13"/>
  <c r="H16" i="12" l="1"/>
  <c r="M30" i="12"/>
  <c r="H14" i="12"/>
  <c r="H12" i="12"/>
  <c r="H13" i="12"/>
  <c r="H15"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7" authorId="0" shapeId="0" xr:uid="{00000000-0006-0000-0100-000001000000}">
      <text>
        <r>
          <rPr>
            <sz val="10"/>
            <rFont val="Arial"/>
            <family val="2"/>
          </rPr>
          <t>Agustin Yudica Sedano:
es la ley del mineral tal cual sale de la mina, la roca cruda</t>
        </r>
      </text>
    </comment>
    <comment ref="A14" authorId="0" shapeId="0" xr:uid="{00000000-0006-0000-0100-000002000000}">
      <text>
        <r>
          <rPr>
            <sz val="10"/>
            <rFont val="Arial"/>
            <family val="2"/>
          </rPr>
          <t>Agustin Yudica Sedano:
es la ley del producto que sale de la planta de procesamiento, después de que la planta hizo su trabajo.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31" authorId="0" shapeId="0" xr:uid="{00000000-0006-0000-0900-000001000000}">
      <text>
        <r>
          <rPr>
            <sz val="10"/>
            <rFont val="Arial"/>
            <family val="2"/>
          </rPr>
          <t>Agustin Yudica Sedano:
En términos prácticos, dejarlo en 0 equivale a asumir que no hay ningún desfasaje entre lo devengado y lo percibido: cobrás la venta el mismo año que la facturás, pagás los costos el mismo año que los incurrís, y no acumulás inventario de concentrado en tránsito</t>
        </r>
      </text>
    </comment>
    <comment ref="A37" authorId="0" shapeId="0" xr:uid="{00000000-0006-0000-0900-000002000000}">
      <text>
        <r>
          <rPr>
            <sz val="10"/>
            <rFont val="Arial"/>
            <family val="2"/>
          </rPr>
          <t>Agustin Yudica Sedano:
Cuanto gano por cada USD adicional libre de impuestos</t>
        </r>
      </text>
    </comment>
    <comment ref="A38" authorId="0" shapeId="0" xr:uid="{00000000-0006-0000-0900-000003000000}">
      <text>
        <r>
          <rPr>
            <sz val="10"/>
            <rFont val="Arial"/>
            <family val="2"/>
          </rPr>
          <t>Agustin Yudica Sedano:
Si el precio del cobre fuese 0, cuando daría el flujo?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5" authorId="0" shapeId="0" xr:uid="{00000000-0006-0000-0A00-000001000000}">
      <text>
        <r>
          <rPr>
            <sz val="10"/>
            <rFont val="Arial"/>
            <family val="2"/>
          </rPr>
          <t>Agustin Yudica Sedano:
Paso 1 — COUNTIF('Cash Flow'!$B$17:$Q$17,"&lt;0"): cuenta cuántas celdas de esa fila son negativas. Acá son 4 (Año0, Año1, Año2 y Año3). Este número no es un "año", es una posición: como el rango arranca en B=Año0, la 4ª celda del rango corresponde a Año3. Ese "4" es el dato clave que se reutiliza en toda la fórmula.
Paso 2 — (COUNTIF − 1) = 4 − 1 = 3: esto convierte la "posición" en el número de año real. Como Año0 ocupa la posición 1, restar 1 me da directamente "Año 3" — el último año que todavía está en negativo. Esa es la parte entera del resultado (los "3 años completos" de la respuesta 3.75).
Paso 3 — INDEX('Cash Flow'!$B$17:$Q$17, 4): busca el valor que está en la posición 4 de esa fila — es decir, el FCF Acumulado de Año3, que es −148,621,201. Le pongo el signo negativo adelante (−INDEX(...)) para convertirlo en positivo: 148,621,201 — esto representa "cuánta plata me falta todavía para llegar a cero al cierre de Año3".
Paso 4 — INDEX('Cash Flow'!$B$16:$Q$16, 4+1): busca en la fila de FCF (no acumulado, fila 16) la posición 5, que corresponde a Año4 — el FCF de ese año es 196,859,600. Ese "+1" es clave: necesito el flujo del año siguiente al último negativo, porque ahí es donde se termina de cubrir el faltante.
Paso 5 — la división: 148,621,201 / 196,859,600 ≈ 0.755. Esto responde "¿qué porción de todo lo que entra en Año4 hace falta para tapar el agujero que quedó a fin de Año3?". Es una interpolación lineal: asume que esos 196.86M no entran todos de golpe el último día del año, sino repartidos uniformemente a lo largo del Año4.
Resultado final: 3 + 0.755 = 3.75 años — se recupera la inversión inicial a los 3 años y nueve meses, aproximadamente.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Agustin Yudica Sedano</author>
  </authors>
  <commentList>
    <comment ref="E24" authorId="0" shapeId="0" xr:uid="{2DA8EC72-8CE1-4BC7-A444-D006DD13316B}">
      <text>
        <r>
          <rPr>
            <b/>
            <sz val="9"/>
            <color indexed="81"/>
            <rFont val="Tahoma"/>
            <family val="2"/>
          </rPr>
          <t xml:space="preserve">Agustin Yudica Sedano:
</t>
        </r>
        <r>
          <rPr>
            <sz val="9"/>
            <color indexed="81"/>
            <rFont val="Tahoma"/>
            <family val="2"/>
          </rPr>
          <t xml:space="preserve">
Puede pasar que modificando alguna variable el VAN de negativo pero la TIR positiva y es porque en otras palabras: el proyecto SÍ es rentable en términos absolutos (TIR positiva, genera más plata de la que puso), pero esa rentabilidad (4,72%) es menor a lo que tus inversores exigen como retorno mínimo por poner el capital ahí (10%). 
Este escenario se da cuando por ejemplo pasa lo siguiente:
- Precio del cobre 0%
- Ley de cobre -15%
- Recuperación metalúrgica: -9%
- CAPEX: 10%
- OPEX: 10%
Toneladas procesadas: -25%</t>
        </r>
      </text>
    </comment>
  </commentList>
</comments>
</file>

<file path=xl/sharedStrings.xml><?xml version="1.0" encoding="utf-8"?>
<sst xmlns="http://schemas.openxmlformats.org/spreadsheetml/2006/main" count="1278" uniqueCount="541">
  <si>
    <t>Proyecto Cordillera Cu</t>
  </si>
  <si>
    <t>Modelo Económico-Financiero — Evaluación de Proyecto Minero</t>
  </si>
  <si>
    <t>Caso ficticio con fines educativos. Ningún dato corresponde a un yacimiento real.</t>
  </si>
  <si>
    <t>Etapa del proyecto</t>
  </si>
  <si>
    <t>Prefactibilidad (PFS)</t>
  </si>
  <si>
    <t>Etapa del modelo</t>
  </si>
  <si>
    <t>1 — Módulo de Producción (en construcción)</t>
  </si>
  <si>
    <t>Analista</t>
  </si>
  <si>
    <t>Agus — Analista Financiero Junior / Project Evaluation Analyst</t>
  </si>
  <si>
    <t>Moneda</t>
  </si>
  <si>
    <t>USD</t>
  </si>
  <si>
    <t>Sistema de unidades</t>
  </si>
  <si>
    <t>Métrico</t>
  </si>
  <si>
    <t>Commodity</t>
  </si>
  <si>
    <t>Cobre (Cu)</t>
  </si>
  <si>
    <t>Producto de venta</t>
  </si>
  <si>
    <t>Concentrado de cobre (no cátodos)</t>
  </si>
  <si>
    <t>Región</t>
  </si>
  <si>
    <t>Cuyo, Argentina (ficticio)</t>
  </si>
  <si>
    <t>Versión</t>
  </si>
  <si>
    <t>v0.1 — Solo hoja Assumptions y Production</t>
  </si>
  <si>
    <t>Estructura del modelo (hojas)</t>
  </si>
  <si>
    <t>1. Cover</t>
  </si>
  <si>
    <t>2. Assumptions</t>
  </si>
  <si>
    <t>3. Production</t>
  </si>
  <si>
    <t>4. Revenue</t>
  </si>
  <si>
    <t>5. OPEX</t>
  </si>
  <si>
    <t>6. CAPEX</t>
  </si>
  <si>
    <t>7. Taxes</t>
  </si>
  <si>
    <t>8. Cash Flow</t>
  </si>
  <si>
    <t>9. Valuation</t>
  </si>
  <si>
    <t>10. Sensitivities</t>
  </si>
  <si>
    <t>11. Scenarios</t>
  </si>
  <si>
    <t>12. Dashboard</t>
  </si>
  <si>
    <t>13. OPEX Detail (hoja de soporte — desagregación de costos, Etapa 3)</t>
  </si>
  <si>
    <t>Tutorial (chileno)</t>
  </si>
  <si>
    <t>https://www.youtube.com/watch?v=lTvYc3-kPAw</t>
  </si>
  <si>
    <t>ASSUMPTIONS — Supuestos e inputs del modelo</t>
  </si>
  <si>
    <t>Única hoja donde se permite tipear valores directamente. Ninguna otra hoja debe contener un número hardcodeado: todo se trae por referencia desde acá.</t>
  </si>
  <si>
    <t>Variable</t>
  </si>
  <si>
    <t>Valor</t>
  </si>
  <si>
    <t>Unidad</t>
  </si>
  <si>
    <t>Tipo</t>
  </si>
  <si>
    <t>Fuente / Nota</t>
  </si>
  <si>
    <t>PRODUCCIÓN (Etapa 1)</t>
  </si>
  <si>
    <t>Toneladas procesadas por año (Ore processed)</t>
  </si>
  <si>
    <t>t/año</t>
  </si>
  <si>
    <t>Supuesto</t>
  </si>
  <si>
    <t>Capacidad nominal de planta (PFS) — throughput de diseño</t>
  </si>
  <si>
    <t>Ley de cobre promedio (Head grade)</t>
  </si>
  <si>
    <t>% Cu</t>
  </si>
  <si>
    <t>Estimación</t>
  </si>
  <si>
    <t>Ley promedio LOM, modelo geológico preliminar</t>
  </si>
  <si>
    <t>Recuperación metalúrgica (Recovery)</t>
  </si>
  <si>
    <t>%</t>
  </si>
  <si>
    <t>Ensayos metalúrgicos preliminares — proceso de flotación</t>
  </si>
  <si>
    <t>Payability</t>
  </si>
  <si>
    <t>Condición típica de contrato de venta de concentrado (offtake), aún no negociado</t>
  </si>
  <si>
    <t>INGRESOS (Etapa 2)</t>
  </si>
  <si>
    <t>Precio del cobre (escenario base)</t>
  </si>
  <si>
    <t>USD/lb</t>
  </si>
  <si>
    <t>Precio de largo plazo asumido por Planeamiento para el caso base — ficticio, no es cotización real de mercado</t>
  </si>
  <si>
    <t>Factor de conversión t -&gt; lb</t>
  </si>
  <si>
    <t>lb/t</t>
  </si>
  <si>
    <t>Dato (constante física)</t>
  </si>
  <si>
    <t>1 tonelada métrica = 2.204,62 libras</t>
  </si>
  <si>
    <t>Ley del concentrado (Concentrate grade)</t>
  </si>
  <si>
    <t>Ley típica de concentrado de cobre por flotación (rango real usual: 26%-32% Cu) — valor ficticio para el caso</t>
  </si>
  <si>
    <t>Treatment Charge (TC)</t>
  </si>
  <si>
    <t>USD/dmt</t>
  </si>
  <si>
    <t xml:space="preserve">Cargo de fundición por tonelada seca de concentrado (dmt) </t>
  </si>
  <si>
    <t>Refining Charge (RC)</t>
  </si>
  <si>
    <t>Cargo de refinación por libra de metal pagable — benchmark ilustrativo, no cotización real</t>
  </si>
  <si>
    <t>OPEX (Etapa 3)</t>
  </si>
  <si>
    <t>Costo Mina — Perforación y voladura (Drilling &amp; blasting)</t>
  </si>
  <si>
    <t>USD/t procesada</t>
  </si>
  <si>
    <t>Costo de perforar y volar la roca por tonelada de mineral procesado</t>
  </si>
  <si>
    <t>Costo Mina — Carguío (Loading)</t>
  </si>
  <si>
    <t>Costo de pala/excavadora por tonelada cargada</t>
  </si>
  <si>
    <t>Costo Mina — Acarreo (Hauling)</t>
  </si>
  <si>
    <t>Costo de camiones por tonelada acarreada — en la realidad crece con la profundidad del pit; aquí se simplifica como plano</t>
  </si>
  <si>
    <t>Costo Mina — Servicios mina (Mine services)</t>
  </si>
  <si>
    <t>Supervisión, geotecnia, dewatering y otros servicios de mina</t>
  </si>
  <si>
    <t>Costo Planta — Energía (Power)</t>
  </si>
  <si>
    <t>Consumo eléctrico de trituración y molienda — normalmente el mayor componente del costo planta</t>
  </si>
  <si>
    <t>Costo Planta — Reactivos (Reagents)</t>
  </si>
  <si>
    <t>Colectores, espumantes y cal para el circuito de flotación</t>
  </si>
  <si>
    <t>Costo Planta — Medios de molienda (Grinding media)</t>
  </si>
  <si>
    <t>Bolas de acero consumidas en el molino</t>
  </si>
  <si>
    <t>Costo Planta — Mantenimiento (variable, desgaste)</t>
  </si>
  <si>
    <t>Componente de desgaste (revestimientos, repuestos) que escala con el tonelaje procesado</t>
  </si>
  <si>
    <t>Costo Planta — Mano de obra (fijo)</t>
  </si>
  <si>
    <t>USD/año</t>
  </si>
  <si>
    <t>Dotación de operadores, metalurgistas y supervisión — costo FIJO, no depende del tonelaje (reclasificado desde el costo variable original; ver nota de la Etapa 3)</t>
  </si>
  <si>
    <t>G&amp;A (Administración y gestión)</t>
  </si>
  <si>
    <t>Estructura administrativa, seguridad, gestión ambiental — costo FIJO, no depende del tonelaje</t>
  </si>
  <si>
    <t>CAPEX (Etapa 4)</t>
  </si>
  <si>
    <t>CAPEX Mina</t>
  </si>
  <si>
    <t>Desarrollo de accesos, pre-stripping (remoción inicial de estéril) y equipos mina</t>
  </si>
  <si>
    <t>CAPEX Planta</t>
  </si>
  <si>
    <t>Planta de trituración, molienda y flotación — partida más grande, típico en minería</t>
  </si>
  <si>
    <t>Infraestructura</t>
  </si>
  <si>
    <t>Caminos, línea eléctrica, suministro de agua, campamento</t>
  </si>
  <si>
    <t>Ingeniería (EPCM)</t>
  </si>
  <si>
    <t>Ingeniería, procura y gestión de construcción (Engineering, Procurement, Construction Management)</t>
  </si>
  <si>
    <t>Contingencia</t>
  </si>
  <si>
    <t>% del subtotal</t>
  </si>
  <si>
    <t>Reserva por incertidumbre — nivel de precisión típico de PFS (±20-25%)</t>
  </si>
  <si>
    <t>CAPEX DETAIL — Componentes (Etapa 4)</t>
  </si>
  <si>
    <t>CAPEX Mina &gt; Flota de equipos mina — Camiones fuera de ruta (6 x USD 6,0M)</t>
  </si>
  <si>
    <t>6 camiones fuera de ruta (~190 t de capacidad), USD 6,0M c/u. Es CAPEX: activo físico, vida útil típica 8-10 años.</t>
  </si>
  <si>
    <t>CAPEX Mina &gt; Flota de equipos mina — Palas/excavadoras (2 x USD 12,0M)</t>
  </si>
  <si>
    <t>2 palas hidráulicas/excavadoras, USD 12,0M c/u. Es CAPEX: equipo de vida útil plurianual.</t>
  </si>
  <si>
    <t>CAPEX Mina &gt; Flota de equipos mina — Perforadoras (4 x USD 3,5M)</t>
  </si>
  <si>
    <t>4 equipos de perforación, USD 3,5M c/u. Es CAPEX: equipo de vida útil plurianual.</t>
  </si>
  <si>
    <t>CAPEX Mina &gt; Flota de equipos mina — Equipos auxiliares (motoniveladoras, cisternas, cargadores)</t>
  </si>
  <si>
    <t>Flota de apoyo mina. Es CAPEX: activos físicos que se usan durante varios años.</t>
  </si>
  <si>
    <t>CAPEX Mina &gt; Pre-stripping (remoción inicial de estéril) — Volumen de estéril a remover (pre-producción)</t>
  </si>
  <si>
    <t>t</t>
  </si>
  <si>
    <t>Volumen de estéril a mover antes del inicio de producción, según plan de minado.</t>
  </si>
  <si>
    <t>CAPEX Mina &gt; Pre-stripping (remoción inicial de estéril) — Costo unitario de remoción de estéril</t>
  </si>
  <si>
    <t>USD/t</t>
  </si>
  <si>
    <t>Perforación, voladura, carguío y acarreo del estéril de pre-stripping. Es CAPEX: da acceso a todo el mineral que se extraerá en años futuros — beneficio plurianual (distinto del stripping de producción corriente, que es OPEX bajo IFRIC 20).</t>
  </si>
  <si>
    <t>CAPEX Mina &gt; Obras civiles y accesos mina — Caminos internos de mina</t>
  </si>
  <si>
    <t>Caminos de acarreo internos entre el pit y la planta/botaderos. Es CAPEX: infraestructura permanente.</t>
  </si>
  <si>
    <t>CAPEX Mina &gt; Obras civiles y accesos mina — Plataformas y drenaje</t>
  </si>
  <si>
    <t>Plataformas de trabajo y sistema de drenaje del área mina. Es CAPEX: obra civil de uso plurianual.</t>
  </si>
  <si>
    <t>CAPEX Planta &gt; Circuito de trituración — Chancadora primaria</t>
  </si>
  <si>
    <t>Es CAPEX: equipo de proceso, vida útil 15-20+ años.</t>
  </si>
  <si>
    <t>CAPEX Planta &gt; Circuito de trituración — Chancadora secundaria/terciaria</t>
  </si>
  <si>
    <t>Es CAPEX: equipo de proceso de vida útil plurianual.</t>
  </si>
  <si>
    <t>CAPEX Planta &gt; Circuito de trituración — Correas transportadoras y estructuras</t>
  </si>
  <si>
    <t>Es CAPEX: instalación fija de la planta.</t>
  </si>
  <si>
    <t>CAPEX Planta &gt; Circuito de molienda — Molino SAG</t>
  </si>
  <si>
    <t>Es CAPEX: la partida individual más cara del proyecto — equipo de proceso de vida útil de décadas.</t>
  </si>
  <si>
    <t>CAPEX Planta &gt; Circuito de molienda — Molino de bolas</t>
  </si>
  <si>
    <t>CAPEX Planta &gt; Circuito de molienda — Equipos auxiliares de molienda (clasificadores, bombas)</t>
  </si>
  <si>
    <t>Es CAPEX: equipos fijos del circuito de molienda.</t>
  </si>
  <si>
    <t>CAPEX Planta &gt; Circuito de flotación — Celdas de flotación</t>
  </si>
  <si>
    <t>CAPEX Planta &gt; Circuito de flotación — Espesadores</t>
  </si>
  <si>
    <t>Es CAPEX: equipo fijo de la planta.</t>
  </si>
  <si>
    <t>CAPEX Planta &gt; Circuito de flotación — Sistema de reactivos (dosificación)</t>
  </si>
  <si>
    <t>Es CAPEX: la instalación de dosificación se activa; los reactivos que consume después son OPEX.</t>
  </si>
  <si>
    <t>CAPEX Planta &gt; Manejo de concentrado y relaves — Filtros de concentrado</t>
  </si>
  <si>
    <t>Es CAPEX: equipo fijo de vida útil plurianual.</t>
  </si>
  <si>
    <t>CAPEX Planta &gt; Manejo de concentrado y relaves — Almacenamiento y despacho de concentrado</t>
  </si>
  <si>
    <t>Es CAPEX: instalación permanente.</t>
  </si>
  <si>
    <t>CAPEX Planta &gt; Manejo de concentrado y relaves — Dique de relaves (etapa inicial)</t>
  </si>
  <si>
    <t>Es CAPEX: obra permanente que se sigue recreciendo con Sustaining CAPEX durante la vida de la mina.</t>
  </si>
  <si>
    <t>CAPEX Planta &gt; Obras civiles y montaje — Fundaciones y estructuras metálicas</t>
  </si>
  <si>
    <t>Es CAPEX: obra civil permanente.</t>
  </si>
  <si>
    <t>CAPEX Planta &gt; Obras civiles y montaje — Montaje electromecánico</t>
  </si>
  <si>
    <t>Es CAPEX: costo directamente atribuible a poner los equipos de planta en condiciones de uso — se activa junto con ellos.</t>
  </si>
  <si>
    <t>Infraestructura &gt; Caminos de acceso — Longitud del camino de acceso</t>
  </si>
  <si>
    <t>km</t>
  </si>
  <si>
    <t>Camino de acceso al proyecto desde la red vial existente.</t>
  </si>
  <si>
    <t>Infraestructura &gt; Caminos de acceso — Costo unitario de construcción</t>
  </si>
  <si>
    <t>USD/km</t>
  </si>
  <si>
    <t>Es CAPEX: infraestructura vial permanente de uso durante toda la vida del proyecto.</t>
  </si>
  <si>
    <t>Infraestructura &gt; Línea eléctrica / suministro energético — Longitud de línea de alta tensión</t>
  </si>
  <si>
    <t>Línea de alta tensión hasta el punto de conexión a la red.</t>
  </si>
  <si>
    <t>Infraestructura &gt; Línea eléctrica / suministro energético — Costo unitario de línea</t>
  </si>
  <si>
    <t>Es CAPEX: infraestructura eléctrica de uso plurianual.</t>
  </si>
  <si>
    <t>Infraestructura &gt; Línea eléctrica / suministro energético — Subestación</t>
  </si>
  <si>
    <t>Es CAPEX: instalación eléctrica fija.</t>
  </si>
  <si>
    <t>Infraestructura &gt; Suministro de agua — Captación y bombeo</t>
  </si>
  <si>
    <t>Infraestructura &gt; Suministro de agua — Acueducto / conducción</t>
  </si>
  <si>
    <t>Es CAPEX: infraestructura de uso plurianual.</t>
  </si>
  <si>
    <t>Infraestructura &gt; Suministro de agua — Almacenamiento (tanque/reservorio)</t>
  </si>
  <si>
    <t>Es CAPEX: activo físico permanente.</t>
  </si>
  <si>
    <t>Infraestructura &gt; Campamento — Alojamiento</t>
  </si>
  <si>
    <t>Es CAPEX: edificación de uso durante toda la vida del proyecto.</t>
  </si>
  <si>
    <t>Infraestructura &gt; Campamento — Servicios generales (comedor, lavandería, etc.)</t>
  </si>
  <si>
    <t>Ingeniería (EPCM) &gt; Ingeniería de detalle — Ingeniería de mina</t>
  </si>
  <si>
    <t>Es CAPEX: costo directamente atribuible a poner los activos en condiciones de uso — se activa junto con ellos, aunque en sí mismo no sea un bien físico.</t>
  </si>
  <si>
    <t>Ingeniería (EPCM) &gt; Ingeniería de detalle — Ingeniería de planta</t>
  </si>
  <si>
    <t>Es CAPEX: mismo criterio que ingeniería de mina.</t>
  </si>
  <si>
    <t>Ingeniería (EPCM) &gt; Ingeniería de detalle — Ingeniería de infraestructura</t>
  </si>
  <si>
    <t>Ingeniería (EPCM) &gt; Gestión de construcción — Equipo de construction management</t>
  </si>
  <si>
    <t>Es CAPEX: costo directamente atribuible a la construcción del activo, se capitaliza con él.</t>
  </si>
  <si>
    <t>Ingeniería (EPCM) &gt; Gestión de construcción — Servicios de inspección y control de calidad</t>
  </si>
  <si>
    <t>Es CAPEX: mismo criterio.</t>
  </si>
  <si>
    <t>Ingeniería (EPCM) &gt; Costos de propietario (Owner's costs) — Equipo propio del dueño (owner's team)</t>
  </si>
  <si>
    <t>Es CAPEX: costo directamente atribuible durante la construcción; se activa. Distinto de la nómina de operación, que ya en marcha sería OPEX.</t>
  </si>
  <si>
    <t>Ingeniería (EPCM) &gt; Costos de propietario (Owner's costs) — Gastos varios de propietario</t>
  </si>
  <si>
    <t>VIDA DE MINA Y FISCAL (Etapa 5)</t>
  </si>
  <si>
    <t>Reservas totales (probadas y probables)</t>
  </si>
  <si>
    <t>Reservas P&amp;P del yacimiento, mencionadas en el contexto inicial del caso — formalizadas ahora como supuesto explícito para poder calcular la vida útil de la mina.</t>
  </si>
  <si>
    <t>Tasa de Impuesto a las Ganancias (simplificada)</t>
  </si>
  <si>
    <t>Tasa única simplificada. No incluye escala progresiva, regalías provinciales, Impuesto a los Bienes Personales ni otros conceptos fiscales — se incorporan en la Etapa 9.</t>
  </si>
  <si>
    <t>VALUACIÓN (Etapa 6)</t>
  </si>
  <si>
    <t>Tasa de Descuento (WACC simplificada)</t>
  </si>
  <si>
    <t>Tasa única simplificada para descontar el Flujo de Caja Libre. No está derivada de una estructura de capital real (costo de deuda, costo de equity, ponderación D/E) — esa construcción de WACC se incorpora en la Etapa 10 (Project Finance).</t>
  </si>
  <si>
    <t>Tasa de Provisión de Cierre de Mina (% del CAPEX Inicial)</t>
  </si>
  <si>
    <t>PRODUCTION — Módulo de producción (Etapa 1)</t>
  </si>
  <si>
    <t>Objetivo: calcular el metal pagable anual a partir de toneladas procesadas, ley, recuperación metalúrgica y payability.</t>
  </si>
  <si>
    <t>Concepto</t>
  </si>
  <si>
    <t>Comentario / ayuda</t>
  </si>
  <si>
    <t>PSJ</t>
  </si>
  <si>
    <t>Veladero</t>
  </si>
  <si>
    <t>Toneladas procesadas</t>
  </si>
  <si>
    <t>Ley de cobre (head grade)</t>
  </si>
  <si>
    <t>Metal contenido (100% Cu)</t>
  </si>
  <si>
    <t>t Cu</t>
  </si>
  <si>
    <t>Tu fórmula: Toneladas procesadas × Ley de cobre</t>
  </si>
  <si>
    <t>Recuperación metalúrgica</t>
  </si>
  <si>
    <t xml:space="preserve">Chancado - Trituracion - Flotacion - Relave </t>
  </si>
  <si>
    <t>Metal recuperado (100% Cu)</t>
  </si>
  <si>
    <t>Tu fórmula: Metal contenido × Recuperación metalúrgica</t>
  </si>
  <si>
    <t>Cordillera Cu, en este caso, no vende cátodos de cobre refinado: vende concentrado de cobre a una fundición (smelter) mediante un contrato de venta llamado off-take agreement. Ese contrato establece que la fundición no te paga por el 100% del cobre que hay en el concentrado que le entregás, sino por un porcentaje pactado —en este caso 96,5%—. ¿Por qué? Porque en el proceso de fundición y refinación también hay pérdidas metalúrgicas (del lado del smelter, no del lado de la mina), y porque es práctica comercial estándar del negocio de concentrados que el comprador se quede con una pequeña porción como "deducción" contractual</t>
  </si>
  <si>
    <t>Vos no vendés cobre refinado, vendés concentrado. Entonces el comprador arma una fórmula de precio que dice, en esencia: "te voy a pagar como si tu concentrado fuera cobre refinado, pero te descuento lo que a mí me costaría llegar hasta ahí".</t>
  </si>
  <si>
    <t>Metal pagable (100% Cu)</t>
  </si>
  <si>
    <t>Tu fórmula: Metal recuperado × Payability</t>
  </si>
  <si>
    <t>Control: ley pagable equivalente</t>
  </si>
  <si>
    <t>Chequeo: Metal pagable / Toneladas procesadas. Debe ser sensiblemente menor a la ley de cabeza.</t>
  </si>
  <si>
    <t>Depreciación (unidades de producción)</t>
  </si>
  <si>
    <t>Tn por año</t>
  </si>
  <si>
    <t>% de tn extraidas del total</t>
  </si>
  <si>
    <t>CAPEX Total</t>
  </si>
  <si>
    <t>Depreciation</t>
  </si>
  <si>
    <t>REVENUE — Módulo de ingresos (Etapa 2)</t>
  </si>
  <si>
    <t>Objetivo: partir del metal pagable (Production) y llegar al Net Smelter Return (NSR), es decir, lo que la compañía realmente cobra después de Treatment Charge y Refining Charge.</t>
  </si>
  <si>
    <t>Comentario / lógica</t>
  </si>
  <si>
    <t>PRODUCCIÓN VENDIBLE</t>
  </si>
  <si>
    <t>Referencia directa a Production — producción vendible del año.</t>
  </si>
  <si>
    <t>lb Cu</t>
  </si>
  <si>
    <t>Conversión de toneladas a libras, porque el precio del cobre cotiza en USD/lb.</t>
  </si>
  <si>
    <t>Precio del cobre</t>
  </si>
  <si>
    <t>Ingreso Bruto Anual</t>
  </si>
  <si>
    <t>Ingreso Bruto = Metal pagable (lb) x Precio del cobre. Todavía sin descontar TC/RC.</t>
  </si>
  <si>
    <t>DEDUCCIONES DE FUNDICIÓN / REFINACIÓN</t>
  </si>
  <si>
    <t>Referencia a Production — copper contenido en el concentrado entregado (antes de payability).</t>
  </si>
  <si>
    <t>Ley del concentrado</t>
  </si>
  <si>
    <t>Toneladas de concentrado (Cu + Adicionales)</t>
  </si>
  <si>
    <t>dmt</t>
  </si>
  <si>
    <t>Toneladas de concentrado" es el peso total de ese producto que sale de la planta — cobre puro más todo lo demás que viene mezclado con él (esas "impurezas" son principalmente otros minerales, sobre todo compuestos de azufre y hierro, que quedan pegados al cobre durante el proceso de flotación y no se pueden separar del todo en la mina)</t>
  </si>
  <si>
    <t>Treatment Charge (TC), unitario</t>
  </si>
  <si>
    <t>Treatment Charge total</t>
  </si>
  <si>
    <t>Toneladas de concentrado x TC unitario. TC es el costo de fundición que se aplica sobre todo lo que le llevás a la fundición (porque el TC nace de procesar todo lo que le diste, no de cuánto de eso te van a reconocer después)</t>
  </si>
  <si>
    <t>Refining Charge (RC), unitario</t>
  </si>
  <si>
    <t>Refining Charge total</t>
  </si>
  <si>
    <t>Metal pagable (lb) x RC unitario. El RC se aplica sobre el metal PAGABLE, no sobre el recuperado.
Si el TC se aplica sobre las toneladas de concentrado puras, y luego la empresa debe refinar lo obtenido de la fundicion, quiere decir que cuando refine hay parte del mineral que se sigue perdiendo, entonces el comprador si pagase sobre las toneladas fundidas, ganaria mas porque estaria cobrando por algo que luego termina usando por ej en un 96% cuando hace la refinacion. Entonces por eso el proceso de refinacion se hace sobre el monto de metal pagable para que el comprador no cobre un costo sobre algo que se termina perdiendo en el proceso</t>
  </si>
  <si>
    <t>RESULTADO</t>
  </si>
  <si>
    <t>Net Smelter Return (NSR)</t>
  </si>
  <si>
    <t>Ingreso Bruto - TC total - RC total. Esto es lo que la compañía realmente cobra por su producción anual.</t>
  </si>
  <si>
    <t>Control: NSR / Ingreso Bruto</t>
  </si>
  <si>
    <t>Chequeo de orden de magnitud: en ventas de concentrado suele rondar 85%-95%. Muy por fuera de ese rango sugiere un error de unidades.</t>
  </si>
  <si>
    <t>OPEX — Módulo de costos operativos (Etapa 3)</t>
  </si>
  <si>
    <t>Objetivo: calcular el OPEX Total Anual y los indicadores de costo unitario (costo por tonelada y Cash Cost por libra de cobre pagable).</t>
  </si>
  <si>
    <t>COSTOS VARIABLES</t>
  </si>
  <si>
    <t>Referencia directa a Assumptions — mismo tonelaje usado en Production.</t>
  </si>
  <si>
    <t>Costo mina, unitario</t>
  </si>
  <si>
    <t>Costo mina, total</t>
  </si>
  <si>
    <t>Toneladas procesadas x Costo mina unitario.</t>
  </si>
  <si>
    <t>Costo planta, unitario</t>
  </si>
  <si>
    <t>Ya no incluye mano de obra — ver Costos Fijos.</t>
  </si>
  <si>
    <t>Costo planta, total</t>
  </si>
  <si>
    <t>Toneladas procesadas x Costo planta unitario.</t>
  </si>
  <si>
    <t>COSTOS FIJOS</t>
  </si>
  <si>
    <t>Mano de obra de planta (fijo)</t>
  </si>
  <si>
    <t>Reclasificado desde costo variable: la dotación de planta no escala con el tonelaje.</t>
  </si>
  <si>
    <t>G&amp;A</t>
  </si>
  <si>
    <t>Costo fijo anual — no se multiplica por tonelaje.</t>
  </si>
  <si>
    <t>OPEX Total Anual</t>
  </si>
  <si>
    <t>Costo mina total + Costo planta total + Mano de obra fija + G&amp;A.</t>
  </si>
  <si>
    <t>Cash Cost por tonelada procesada</t>
  </si>
  <si>
    <t>-OPEX Total / Toneladas procesadas (positivo, es un benchmark, no una línea de flujo).</t>
  </si>
  <si>
    <t>Metal pagable (t)</t>
  </si>
  <si>
    <t>Referencia a Production — base para el Cash Cost por libra.</t>
  </si>
  <si>
    <t>Metal pagable (lb)</t>
  </si>
  <si>
    <t>Conversión a libras, misma lógica que en Revenue.</t>
  </si>
  <si>
    <t>Cash Cost por libra pagable (C1)</t>
  </si>
  <si>
    <t>-OPEX Total / Metal pagable (lb). Indicador C1 Cash Cost, positivo por convención de la industria.</t>
  </si>
  <si>
    <t>Cash Cost</t>
  </si>
  <si>
    <t>Chequeo: el Cash Cost no debería superar el precio de venta.</t>
  </si>
  <si>
    <t>OPEX DETAIL — Desagregación de Costo Mina y Costo Planta</t>
  </si>
  <si>
    <t>COSTO MINA — COMPONENTES (USD/t procesada)</t>
  </si>
  <si>
    <t>Perforación y voladura</t>
  </si>
  <si>
    <t>Es OPEX: explosivos y horas de equipo que se consumen en el momento de la voladura del período; no crea un activo que perdure.</t>
  </si>
  <si>
    <t>Carguío</t>
  </si>
  <si>
    <t>Es OPEX: combustible, desgaste y mano de obra del equipo de carguío, consumidos en el período — la máquina en sí ya está capitalizada en CAPEX (Flota de equipos).</t>
  </si>
  <si>
    <t>Acarreo</t>
  </si>
  <si>
    <t>Es OPEX: combustible, neumáticos y mantenimiento rutinario de los camiones — se consume mes a mes; el camión en sí es CAPEX.</t>
  </si>
  <si>
    <t>Servicios mina</t>
  </si>
  <si>
    <t>Es OPEX: supervisión, geotecnia y dewatering son servicios corrientes del período, no generan un activo.</t>
  </si>
  <si>
    <t>Subtotal Costo Mina</t>
  </si>
  <si>
    <t>Suma de los 4 componentes. Es el valor que alimenta el Costo mina unitario en la hoja OPEX.</t>
  </si>
  <si>
    <t>COSTO PLANTA — COMPONENTES (USD/t procesada)</t>
  </si>
  <si>
    <t>Energía</t>
  </si>
  <si>
    <t>Es OPEX: la electricidad consumida se agota en el momento de uso, no queda ningún activo.</t>
  </si>
  <si>
    <t>Reactivos</t>
  </si>
  <si>
    <t>Es OPEX: los reactivos químicos se consumen en el proceso de flotación de cada tonelada procesada.</t>
  </si>
  <si>
    <t>Medios de molienda</t>
  </si>
  <si>
    <t>Es OPEX: las bolas de acero se desgastan y consumen con cada tonelada molida — es un consumible, no un activo de varios años.</t>
  </si>
  <si>
    <t>Mantenimiento (variable, desgaste)</t>
  </si>
  <si>
    <t>Es OPEX: reposición de piezas de desgaste — mantiene el activo en su condición normal sin extender su vida útil (a diferencia de un overhaul mayor, que sí se capitalizaría).</t>
  </si>
  <si>
    <t>Subtotal Costo Planta</t>
  </si>
  <si>
    <t>Suma de los 4 componentes. Es el valor que alimenta el Costo planta unitario en la hoja OPEX.</t>
  </si>
  <si>
    <t>CAPEX — Inversión de capital inicial (Etapa 4)</t>
  </si>
  <si>
    <t>Objetivo: calcular el CAPEX Inicial Total necesario para construir Cordillera Cu, antes de que comience a generar los ingresos y costos ya modelados.</t>
  </si>
  <si>
    <t>INVERSIÓN INICIAL</t>
  </si>
  <si>
    <t>Ya no viene directo de Assumptions: se trae del subtotal armado en CAPEX Detail.</t>
  </si>
  <si>
    <t>Subtotal</t>
  </si>
  <si>
    <t>Suma de las cuatro partidas de inversión.</t>
  </si>
  <si>
    <t>Contingencia, %</t>
  </si>
  <si>
    <t>Contingencia, USD</t>
  </si>
  <si>
    <t>Subtotal x Contingencia %. Queda negativo automáticamente porque el Subtotal ya es negativo.</t>
  </si>
  <si>
    <t>CAPEX Inicial Total</t>
  </si>
  <si>
    <t>Subtotal + Contingencia. Es la salida de caja del año 0, antes de que arranque la operación.</t>
  </si>
  <si>
    <t>Control: Intensidad de capital</t>
  </si>
  <si>
    <t>USD/t capacidad</t>
  </si>
  <si>
    <t>-CAPEX Inicial / Toneladas procesadas por año. Mide cuánto capital se invirtió por cada tonelada de capacidad anual de planta — se usa para comparar proyectos entre sí.</t>
  </si>
  <si>
    <t>CAPEX DETAIL — Desagregación de la inversión inicial</t>
  </si>
  <si>
    <t>Objetivo: descomponer cada partida de CAPEX hasta sus elementos de origen (equipos, volúmenes, tarifas unitarias), y documentar por qué cada uno se clasifica como CAPEX.</t>
  </si>
  <si>
    <t>Comentario / por qué es CAPEX</t>
  </si>
  <si>
    <t>CAPEX MINA — COMPONENTES</t>
  </si>
  <si>
    <t xml:space="preserve">    Camiones fuera de ruta (6 x USD 6,0M)</t>
  </si>
  <si>
    <t>En veladero son 52 camiones</t>
  </si>
  <si>
    <t xml:space="preserve">    Palas/excavadoras (2 x USD 12,0M)</t>
  </si>
  <si>
    <t xml:space="preserve">    Perforadoras (4 x USD 3,5M)</t>
  </si>
  <si>
    <t xml:space="preserve">    Equipos auxiliares (motoniveladoras, cisternas, cargadores)</t>
  </si>
  <si>
    <t>Subtotal Flota de equipos mina</t>
  </si>
  <si>
    <t>Alimenta el subtotal de CAPEX Mina.</t>
  </si>
  <si>
    <t xml:space="preserve">    Volumen de estéril a remover (pre-stripping</t>
  </si>
  <si>
    <t>Volumen de estéril a mover antes del inicio de producción, según plan de minado.
El pre-stripping (remoción del estéril que cubre el yacimiento, hecha ANTES de que empiece la producción) es un costo que necesitás pagar una sola vez, por adelantado, para poder acceder al mineral. En ese momento todavía no estás vendiendo cobre — no hay ingresos contra los cuales "cargarle" ese gasto de un año en particular. Y el beneficio de haber sacado ese estéril no se agota en un período: te da acceso al mineral que vas a extraer durante los 15 años de vida de mina. Esa es exactamente la definición de un activo en contabilidad: una erogación que genera beneficios económicos futuros a lo largo de varios períodos, no el consumo de algo en el período corriente. Por eso se capitaliza (CAPEX, en el Año 0) en vez de tratarse como un gasto operativo de un año específico.</t>
  </si>
  <si>
    <t xml:space="preserve">    Costo unitario de remoción de estéril</t>
  </si>
  <si>
    <t xml:space="preserve">    Subproducto: Volumen de estéril a remover (pre-stripping x Costo unitario de remoción de estéril</t>
  </si>
  <si>
    <t>Subtotal Pre-stripping (remoción inicial de estéril)</t>
  </si>
  <si>
    <t xml:space="preserve">    Caminos internos de mina</t>
  </si>
  <si>
    <t xml:space="preserve">    Plataformas y drenaje</t>
  </si>
  <si>
    <t>Subtotal Obras civiles y accesos mina</t>
  </si>
  <si>
    <t>Subtotal CAPEX Mina</t>
  </si>
  <si>
    <t>Alimenta la línea 'CAPEX Mina' de la hoja CAPEX.</t>
  </si>
  <si>
    <t>CAPEX PLANTA — COMPONENTES</t>
  </si>
  <si>
    <t xml:space="preserve">    Chancadora primaria</t>
  </si>
  <si>
    <t xml:space="preserve">    Chancadora secundaria/terciaria</t>
  </si>
  <si>
    <t xml:space="preserve">    Correas transportadoras y estructuras</t>
  </si>
  <si>
    <t>Subtotal Circuito de trituración</t>
  </si>
  <si>
    <t>Alimenta el subtotal de CAPEX Planta.</t>
  </si>
  <si>
    <t xml:space="preserve">    Molino SAG</t>
  </si>
  <si>
    <t xml:space="preserve">    Molino de bolas</t>
  </si>
  <si>
    <t xml:space="preserve">    Equipos auxiliares de molienda (clasificadores, bombas)</t>
  </si>
  <si>
    <t>Subtotal Circuito de molienda</t>
  </si>
  <si>
    <t xml:space="preserve">    Celdas de flotación</t>
  </si>
  <si>
    <t xml:space="preserve">    Espesadores</t>
  </si>
  <si>
    <t xml:space="preserve">    Sistema de reactivos (dosificación)</t>
  </si>
  <si>
    <t>Subtotal Circuito de flotación</t>
  </si>
  <si>
    <t xml:space="preserve">    Filtros de concentrado</t>
  </si>
  <si>
    <t xml:space="preserve">    Almacenamiento y despacho de concentrado</t>
  </si>
  <si>
    <t xml:space="preserve">    Dique de relaves (etapa inicial)</t>
  </si>
  <si>
    <t>Subtotal Manejo de concentrado y relaves</t>
  </si>
  <si>
    <t xml:space="preserve">    Fundaciones y estructuras metálicas</t>
  </si>
  <si>
    <t xml:space="preserve">    Montaje electromecánico</t>
  </si>
  <si>
    <t>Subtotal Obras civiles y montaje</t>
  </si>
  <si>
    <t>Subtotal CAPEX Planta</t>
  </si>
  <si>
    <t>Alimenta la línea 'CAPEX Planta' de la hoja CAPEX.</t>
  </si>
  <si>
    <t>INFRAESTRUCTURA — COMPONENTES</t>
  </si>
  <si>
    <t xml:space="preserve">    Longitud del camino de acceso</t>
  </si>
  <si>
    <t xml:space="preserve">    Costo unitario de construcción</t>
  </si>
  <si>
    <t xml:space="preserve">    Subproducto: Longitud del camino de acceso x Costo unitario de construcción</t>
  </si>
  <si>
    <t>Subtotal Caminos de acceso</t>
  </si>
  <si>
    <t>Alimenta el subtotal de Infraestructura.</t>
  </si>
  <si>
    <t xml:space="preserve">    Longitud de línea de alta tensión</t>
  </si>
  <si>
    <t xml:space="preserve">    Costo unitario de línea</t>
  </si>
  <si>
    <t xml:space="preserve">    Subproducto: Longitud de línea de alta tensión x Costo unitario de línea</t>
  </si>
  <si>
    <t xml:space="preserve">    Subestación</t>
  </si>
  <si>
    <t>Subtotal Línea eléctrica / suministro energético</t>
  </si>
  <si>
    <t xml:space="preserve">    Captación y bombeo</t>
  </si>
  <si>
    <t xml:space="preserve">    Acueducto / conducción</t>
  </si>
  <si>
    <t xml:space="preserve">    Almacenamiento (tanque/reservorio)</t>
  </si>
  <si>
    <t>Subtotal Suministro de agua</t>
  </si>
  <si>
    <t xml:space="preserve">    Alojamiento</t>
  </si>
  <si>
    <t xml:space="preserve">    Servicios generales (comedor, lavandería, etc.)</t>
  </si>
  <si>
    <t>Subtotal Campamento</t>
  </si>
  <si>
    <t>Subtotal Infraestructura</t>
  </si>
  <si>
    <t>Alimenta la línea 'Infraestructura' de la hoja CAPEX.</t>
  </si>
  <si>
    <t>INGENIERÍA (EPCM) — COMPONENTES</t>
  </si>
  <si>
    <t xml:space="preserve">    Ingeniería de mina</t>
  </si>
  <si>
    <t>Se ocupa de todo lo que define cómo se va a extraer el mineral: el diseño final del tajo (geometría del pit, ángulos de talud, altura de bancos), el plan de minado detallado (secuencia de extracción año por año, fases o "pushbacks" del pit), el diseño de los botaderos de estéril, el diseño de los caminos internos de acarreo (pendientes, anchos, curvas de diseño para que los camiones circulen), el dimensionamiento de la flota (cuántos camiones, palas y perforadoras hacen falta según el plan de producción), los estudios geotécnicos de estabilidad de taludes, y el diseño de perforación y voladura (patrones de malla, cargas explosivas). Es la ingeniería que convierte "hay un yacimiento de tal ley" en "así es como lo vamos a sacar, en este orden, con este equipo".</t>
  </si>
  <si>
    <t xml:space="preserve">    Ingeniería de planta</t>
  </si>
  <si>
    <t>Cubre el proceso metalúrgico: los diagramas de flujo de proceso, los diagramas de tuberías e instrumentación (P&amp;ID), el dimensionamiento y selección de cada equipo (chancadoras, molinos, celdas de flotación, espesadores, filtros) a partir de los ensayos metalúrgicos que mencionamos al principio del caso, el balance de masa y agua de todo el circuito, el diseño estructural de la planta (fundaciones, estructuras metálicas), la ingeniería eléctrica interna de planta, y la ingeniería de instrumentación y control (los sistemas que después van a operar los turnos de planta). Es, en términos de disciplinas involucradas, normalmente la ingeniería más compleja del proyecto, porque combina proceso, mecánica, eléctrica, civil y control todo junto.</t>
  </si>
  <si>
    <t xml:space="preserve">    Ingeniería de infraestructura</t>
  </si>
  <si>
    <t>Diseño del camino de acceso externo, ingeniería de la línea de alta tensión y la subestación, diseño del sistema de agua (captación, acueducto, almacenamiento) y diseño del campamento — básicamente, todo lo que conecta el proyecto con el mundo exterior y sostiene a la gente que trabaja ahí, mucho menos intensivo en ingeniería especializada que mina o planta.</t>
  </si>
  <si>
    <t>Subtotal Ingeniería de detalle</t>
  </si>
  <si>
    <t>Alimenta el subtotal de Ingeniería (EPCM).</t>
  </si>
  <si>
    <t xml:space="preserve">    Equipo de construction management</t>
  </si>
  <si>
    <t xml:space="preserve">    Servicios de inspección y control de calidad</t>
  </si>
  <si>
    <t>Subtotal Gestión de construcción</t>
  </si>
  <si>
    <t xml:space="preserve">    Equipo propio del dueño (owner's team)</t>
  </si>
  <si>
    <t>Son los profesionales que la propia compañía minera (el dueño del proyecto) asigna, con dedicación específica, a supervisar y gestionar la construcción — gerente de proyecto propio, ingenieros de la compañía que controlan al contratista, personal de HSE (seguridad, salud, medioambiente), personal de procura/administración de contratos</t>
  </si>
  <si>
    <t xml:space="preserve">    Gastos varios de propietario</t>
  </si>
  <si>
    <t>Es una categoría "paraguas" para costos menores que el dueño paga directamente durante la construcción y que no ameritan su propia línea dedicada — por ejemplo, tasas y permisos que tramita la compañía directamente (no el contratista), acuerdos con la comunidad o costos de licencia social, honorarios legales o financieros del dueño vinculados específicamente a la ejecución del proyecto, seguros durante la etapa de construcción, viáticos y gastos administrativos del equipo propio</t>
  </si>
  <si>
    <t>Subtotal Costos de propietario (Owner's costs)</t>
  </si>
  <si>
    <t>Subtotal Ingeniería (EPCM)</t>
  </si>
  <si>
    <t>Alimenta la línea 'Ingeniería (EPCM)' de la hoja CAPEX.</t>
  </si>
  <si>
    <t>Impuestos y regalías (aún no desarrollado)</t>
  </si>
  <si>
    <t>CASH FLOW — Flujo de caja del proyecto (Etapa 5)</t>
  </si>
  <si>
    <t>Objetivo: proyectar el Flujo de Caja Libre del proyecto a lo largo de toda la vida de la mina (Año 0 = construcción, Años 1-15 = operación), como base para el VAN y la TIR de la Etapa 6.</t>
  </si>
  <si>
    <t>SIMPLIFICACIONES DE ESTA VERSIÓN: sin variación de ley año a año - sin Sustaining CAPEX - sin Capital de Trabajo (se deja en 0) - sin cierre de mina ni costos de cierre - sin inflación ni tipo de cambio - sin regalías (el Impuesto a las Ganancias usa una tasa única simplificada). Incorporado en Etapa 9: ramp-up de Toneladas Procesadas (fila editable) y separación de OPEX en fijo/variable (el fijo no escala con tonelaje, el variable sí).</t>
  </si>
  <si>
    <t>Año 0</t>
  </si>
  <si>
    <t>Año 1</t>
  </si>
  <si>
    <t>Año 2</t>
  </si>
  <si>
    <t>Año 3</t>
  </si>
  <si>
    <t>Año 4</t>
  </si>
  <si>
    <t>Año 5</t>
  </si>
  <si>
    <t>Año 6</t>
  </si>
  <si>
    <t>Año 7</t>
  </si>
  <si>
    <t>Año 8</t>
  </si>
  <si>
    <t>Año 9</t>
  </si>
  <si>
    <t>Año 10</t>
  </si>
  <si>
    <t>Año 11</t>
  </si>
  <si>
    <t>Año 12</t>
  </si>
  <si>
    <t>Año 13</t>
  </si>
  <si>
    <t>Año 14</t>
  </si>
  <si>
    <t>Año 15</t>
  </si>
  <si>
    <t>Capacidad de Planta en %</t>
  </si>
  <si>
    <t>Metal contenido (t)</t>
  </si>
  <si>
    <t>Metal recuperado (t)</t>
  </si>
  <si>
    <t>Toneladas de concentrado</t>
  </si>
  <si>
    <t>Treatment Charge (TC) total</t>
  </si>
  <si>
    <t>Refining Charge (RC) total</t>
  </si>
  <si>
    <t>NSR (Ingresos netos)</t>
  </si>
  <si>
    <t>Costo Mina (variable)</t>
  </si>
  <si>
    <t>Costo Planta (variable)</t>
  </si>
  <si>
    <t>G&amp;A (fijo)</t>
  </si>
  <si>
    <t>EBITDA</t>
  </si>
  <si>
    <t>CAPEX</t>
  </si>
  <si>
    <t>EBIT</t>
  </si>
  <si>
    <t>Impuestos</t>
  </si>
  <si>
    <t>Capital de Trabajo (variación)</t>
  </si>
  <si>
    <t xml:space="preserve">Provisión Cierre de Mina </t>
  </si>
  <si>
    <t>Flujo de Caja Libre (FCF)</t>
  </si>
  <si>
    <t>Flujo de Caja Acumulado</t>
  </si>
  <si>
    <t>Filas de ayuda para el Precio de Equilibrio de Valuation (no tocar): FCF = a x Precio + b, año por año. Válido porque el FCF es una función lineal del Precio del cobre (mientras el EBIT sea positivo) — mismo principio que la Etapa 6, aplicado año por año en vez de a un único año representativo.</t>
  </si>
  <si>
    <t>a — Sensibilidad del FCF al Precio (USD/(USD/lb))</t>
  </si>
  <si>
    <t>b — FCF a Precio cero (USD)</t>
  </si>
  <si>
    <t>Control: Toneladas totales extraídas en la vida de mina vs Reservas</t>
  </si>
  <si>
    <t>Con el ramp-up, en los años 1-2 se procesa menos que a full capacidad, así que en 15 años fijos no se extrae el 100% de las Reservas_Totales (esta celda muestra cuánto queda sin extraer bajo este diseño). No estamos alargando la vida de mina más allá de 15 años — es una simplificación deliberada, no un error.</t>
  </si>
  <si>
    <t>VALUATION — VAN, TIR, Payback y Precio de Equilibrio (Etapa 6)</t>
  </si>
  <si>
    <t>Objetivo: convertir el Flujo de Caja Libre de la Etapa 5 en los indicadores que la mesa de inversión usa para decidir: Valor Actual Neto (VAN), Tasa Interna de Retorno (TIR), Payback y Precio de Equilibrio del cobre.</t>
  </si>
  <si>
    <t>FLUJO DESCONTADO</t>
  </si>
  <si>
    <t>Referencia directa a Cash Flow!FCF (fila 16). Año 0 = CAPEX inicial (negativo).</t>
  </si>
  <si>
    <t xml:space="preserve">VAN Acumulado </t>
  </si>
  <si>
    <t>VAN calculado con la función NPV/VNA de Excel hasta ese año: 'Cash Flow'!$B$16 + NPV(Tasa de Descuento, rango de FCF desde el Año 1 hasta ese año). Excel descuenta internamente cada flujo — no hace falta armar un factor a mano. El valor del Año 0 es simplemente el CAPEX, porque todavía no hay flujos futuros que descontar. El VAN del proyecto es el último valor de esta fila (Año 15).</t>
  </si>
  <si>
    <t>RESULTADOS DE VALUACIÓN</t>
  </si>
  <si>
    <t>Vida de Mina (LOM)</t>
  </si>
  <si>
    <t>años</t>
  </si>
  <si>
    <t>Reservas totales / Toneladas procesadas por año. Confirma los 15 años usados en Cash Flow.</t>
  </si>
  <si>
    <t>Tasa de Descuento (WACC)</t>
  </si>
  <si>
    <t>Referencia directa al supuesto de Assumptions.</t>
  </si>
  <si>
    <t>VAN (Valor Actual Neto)</t>
  </si>
  <si>
    <t>Trae el último valor (Año 15) de la fila VAN Acumulado de arriba, calculada con la función NPV/VNA de Excel. Si es positivo, el proyecto crea valor por encima del retorno mínimo exigido (la Tasa de Descuento).</t>
  </si>
  <si>
    <t>TIR (Tasa Interna de Retorno)</t>
  </si>
  <si>
    <t>Tasa de descuento que hace VAN = 0. Se compara contra la Tasa de Descuento: si TIR &gt; WACC, el proyecto conviene.</t>
  </si>
  <si>
    <t>Payback Simple (sin descuento)</t>
  </si>
  <si>
    <t>Año en que el FCF Acumulado de Cash Flow cruza cero</t>
  </si>
  <si>
    <t>Payback Descontado</t>
  </si>
  <si>
    <t>Igual que el Payback Simple, pero usando el VAN Acumulado (fila de arriba) en vez del FCF sin descontar. El denominador es la diferencia entre dos VAN Acumulados consecutivos — el valor presente que aporta ese año puntual. Siempre es mayor o igual al Payback Simple, porque descontar castiga los flujos futuros.</t>
  </si>
  <si>
    <t>PRECIO DE EQUILIBRIO (BREAK-EVEN)</t>
  </si>
  <si>
    <t>Lógica (Etapa 9): el FCF de cada año es una función lineal del Precio del cobre (mientras el EBIT de ese año sea positivo): FCF_año = a_año x Precio + b_año. Esto sigue siendo válido año a año aunque el tonelaje varíe por el ramp-up — lo que cambia es que ahora hay que sumar el VAN de esa parte 'a' y esa parte 'b' con NPV() a través de los 15 años</t>
  </si>
  <si>
    <t>NPV de 'a' (sensibilidad del FCF al Precio, descontada)</t>
  </si>
  <si>
    <t>USD/(USD/lb)</t>
  </si>
  <si>
    <t>Este es la pendiente del VAN COMPLETO del proyecto: por cada dólar que sube el precio del cobre, el VAN de todo el proyecto (ya traído a valor de hoy) sube USD 476,4 millones.</t>
  </si>
  <si>
    <t>NPV de 'b' (FCF a Precio cero, descontado)</t>
  </si>
  <si>
    <t>Es la ordenada al origen de esa misma recta: lo que valdría el proyecto (sin contar el CAPEX inicial) si el cobre no aportara nada de valor marginal por precio.</t>
  </si>
  <si>
    <t>CAPEX Inicial (Año 0)</t>
  </si>
  <si>
    <t>Precio de Equilibrio (Break-even)</t>
  </si>
  <si>
    <t>Se puede obtener tambien haciendo  buscar objetivo donde VAN = 0</t>
  </si>
  <si>
    <t>Precio actual del cobre (referencia)</t>
  </si>
  <si>
    <t>Margen de seguridad sobre el precio</t>
  </si>
  <si>
    <t>¿Hasta qué precio de cobre puede caer antes de que el VAN llegue a cero?
El precio del cobre podría caer hasta un 32,2% desde donde está hoy, y el proyecto todavía estaría rindiendo exactamente tu mínimo exigido (VAN=0, TIR=WACC)</t>
  </si>
  <si>
    <t>Verificación: VAN al Precio de Equilibrio (debe dar ≈0)</t>
  </si>
  <si>
    <t>SENSITIVITIES — Análisis de sensibilidad de una variable a la vez (Etapa 7)</t>
  </si>
  <si>
    <t>Objetivo: medir cuánto se mueve el VAN (y la TIR) del caso base cuando UNA sola variable clave cambia, dejando todas las demás fijas ('one-at-a-time')</t>
  </si>
  <si>
    <t>Todas las celdas de esta hoja recalculan la cadena completa año por año (15 años, con el mismo ramp-up y la separación OPEX fijo/variable de Cash Flow) y usan NPV()/IRR() reales -- ya no el atajo del Factor de Anualidad / RATE(). Etapa 9.</t>
  </si>
  <si>
    <t>Truco usado para no repetir las ~20 filas intermedias 5 veces por variable: como acá se mueve UNA sola variable a la vez (todo lo demás queda en su valor base), el FCF de cada año es una función lineal de esa variable: FCF_año = a_año x Valor + b_año. Estos 'a' y 'b' se calculan UNA vez por año (dos filas por bloque, con Año 0..Año 15 en columnas, igual que Cash Flow) y de ahí se arma el FCF real de cada uno de los 5 escenarios de shock -- el NPV()/IRR() final (columnas VAN/TIR) es sobre ese flujo real, no una aproximación. Etapa 9b: se reorientó la hoja para que los años queden en columnas (como en Cash Flow/Scenarios) en vez de en filas.</t>
  </si>
  <si>
    <t>RANGO DE VARIACIÓN APLICADO</t>
  </si>
  <si>
    <t>% de cambio sobre el valor base</t>
  </si>
  <si>
    <t>Todos los bloques de abajo usan esta misma fila como referencia. Cambiar estos 5 valores actualiza el rango de todas las variables a la vez.</t>
  </si>
  <si>
    <t>RESUMEN — IMPACTO EN EL VAN POR VARIABLE (ordenado por magnitud)</t>
  </si>
  <si>
    <t>VAN a -20%</t>
  </si>
  <si>
    <t>VAN Base (0%)</t>
  </si>
  <si>
    <t>VAN a 20%</t>
  </si>
  <si>
    <t>Rango |ΔVAN|</t>
  </si>
  <si>
    <t>Ranking</t>
  </si>
  <si>
    <t>Si baja afecta negativamente al proyecto</t>
  </si>
  <si>
    <t>Ley de cobre</t>
  </si>
  <si>
    <t>Si baja afecta positivamente al proyecto</t>
  </si>
  <si>
    <t>(columnas auxiliares para el gráfico, no editar)</t>
  </si>
  <si>
    <t>¿cuál es el rango total de resultados posibles si esta variable se mueve hasta el límite que definimos como razonable?</t>
  </si>
  <si>
    <t>Base (mín)</t>
  </si>
  <si>
    <t>Rango</t>
  </si>
  <si>
    <t>DETALLE POR VARIABLE (una variable a la vez, todas las demás en su valor base) -- años en columnas, igual que Cash Flow</t>
  </si>
  <si>
    <t>1. PRECIO DEL COBRE — sensibilidad del VAN y la TIR, año por año</t>
  </si>
  <si>
    <t>Se mueve el Precio del cobre (Assumptions) y se recalcula la cadena completa, año por año.</t>
  </si>
  <si>
    <t>VAN</t>
  </si>
  <si>
    <t>TIR</t>
  </si>
  <si>
    <t>Valor de la variable</t>
  </si>
  <si>
    <t>a — Sensibilidad del FCF a la variable (no editar)</t>
  </si>
  <si>
    <t>b — FCF con la variable en su valor base 'cero' (no editar)</t>
  </si>
  <si>
    <t>Cada fila de abajo es un escenario de shock completo (Año 0 a Año 15, más VAN, TIR y el valor de la variable en ese shock) -- FCF = a x Valor (o x % shock en OPEX) + b.</t>
  </si>
  <si>
    <t>2. LEY DE COBRE (HEAD GRADE) — sensibilidad del VAN y la TIR, año por año</t>
  </si>
  <si>
    <t>Se mueve la Ley promedio del yacimiento. Afecta el metal contenido y todo lo que se mide en metal, pero no el OPEX ni el CAPEX (dependen de toneladas, no de ley).</t>
  </si>
  <si>
    <t>3. RECUPERACIÓN METALÚRGICA — sensibilidad del VAN y la TIR, año por año</t>
  </si>
  <si>
    <t>Se mueve la Recuperación metalúrgica. Mismo tipo de efecto que la Ley: escala el metal recuperado, no toca OPEX ni CAPEX.</t>
  </si>
  <si>
    <t>4. CAPEX INICIAL TOTAL — sensibilidad del VAN y la TIR, año por año</t>
  </si>
  <si>
    <t>Se mueve el CAPEX Inicial Total completo. Afecta el desembolso del Año 0 y, vía unidades de producción, la Depreciación anual (y por lo tanto el escudo fiscal) de cada año.</t>
  </si>
  <si>
    <t>5. OPEX TOTAL ANUAL — sensibilidad del VAN y la TIR, año por año</t>
  </si>
  <si>
    <t>Se mueve el OPEX Total Anual completo (mina + planta + mano de obra + G&amp;A) como un solo bloque, representando el riesgo de sobre/sub-costo operativo típico de una PFS.</t>
  </si>
  <si>
    <t>SCENARIOS — Simulación de escenarios combinados (Etapa 9)</t>
  </si>
  <si>
    <t>Objetivo: mover VARIAS variables al mismo tiempo (no una a la vez, como en Sensitivities) y ver cómo se mueve el VAN, la TIR y el resto de la cadena, año por año y con ramp-up real</t>
  </si>
  <si>
    <t>SUPUESTOS POR ESCENARIO (% de cambio sobre el valor base) — EDITABLE</t>
  </si>
  <si>
    <t>Base</t>
  </si>
  <si>
    <t>Optimista</t>
  </si>
  <si>
    <t>Pesimista</t>
  </si>
  <si>
    <t>Personalizado</t>
  </si>
  <si>
    <t>% de cambio sobre Precio_Cobre. Un % positivo es una mejora.</t>
  </si>
  <si>
    <t>% de cambio sobre Ley_Cobre. Un % positivo es una mejora (más metal por tonelada).</t>
  </si>
  <si>
    <t>% de cambio sobre Recuperacion_Metalurgica. Un % positivo es una mejora.</t>
  </si>
  <si>
    <t>% de cambio sobre CAPEX_Inicial_Total. Acá un % positivo es un incremento de costo operativo.</t>
  </si>
  <si>
    <t>% de cambio sobre OPEX_Total_Anual. Acá un % positivo es un incremento de costo operativo.</t>
  </si>
  <si>
    <t>Toneladas Procesadas (ritmo de planta)</t>
  </si>
  <si>
    <t xml:space="preserve">% de cambio sobre Toneladas_Procesadas. </t>
  </si>
  <si>
    <t>VALORES RESULTANTES DEL ESCENARIO</t>
  </si>
  <si>
    <t>Toneladas Procesadas</t>
  </si>
  <si>
    <t>Miles USD</t>
  </si>
  <si>
    <t>Provisión Cierre de Mina Total</t>
  </si>
  <si>
    <t>RESUMEN COMPARATIVO — VAN, TIR y otros indicadores clave por escenario</t>
  </si>
  <si>
    <t>Precio del cobre al cual el VAN del escenario es 0, con el mismo método lineal (FCF = a x Precio + b) de Valuation Seccion 5, usando el CAPEX y la cadena propia de cada escenario.</t>
  </si>
  <si>
    <t>Años para recuperar el CAPEX inicial con el FCF simple (sin descuento) de cada escenario — mismo metodo que Valuation!B15.</t>
  </si>
  <si>
    <t>GRILLA COMPLETA POR ESCENARIO (cadena año por año: Producción → Ingresos → OPEX → Impuestos → FCF → VAN/TIR reales)</t>
  </si>
  <si>
    <t>1. BASE</t>
  </si>
  <si>
    <t>Toneladas procesadas (tn)</t>
  </si>
  <si>
    <t xml:space="preserve">OPEX Total Anual </t>
  </si>
  <si>
    <t>Reservas totales</t>
  </si>
  <si>
    <t>Sobre-explotado / (Sub-explotado)</t>
  </si>
  <si>
    <t>2. OPTIMISTA</t>
  </si>
  <si>
    <t>3. PESIMISTA</t>
  </si>
  <si>
    <t>4. PERSONALIZADO</t>
  </si>
  <si>
    <t>Resumen ejecutivo (aún no desarrollado)</t>
  </si>
  <si>
    <t>OPEX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</si>
</sst>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
    <numFmt numFmtId="165" formatCode="0.0%"/>
    <numFmt numFmtId="166" formatCode="\$0.0000"/>
    <numFmt numFmtId="167" formatCode="\$#,##0"/>
    <numFmt numFmtId="168" formatCode="#,##0.0"/>
    <numFmt numFmtId="169" formatCode="#,##0.0000"/>
    <numFmt numFmtId="170" formatCode="0.000%"/>
    <numFmt numFmtId="171" formatCode="0.0000%"/>
    <numFmt numFmtId="172" formatCode="&quot;$ &quot;#,##0;[Red]&quot;-$ &quot;#,##0"/>
    <numFmt numFmtId="173" formatCode="\$#,##0.00"/>
    <numFmt numFmtId="174" formatCode="&quot;$ &quot;#,##0.00;[Red]&quot;-$ &quot;#,##0.00"/>
    <numFmt numFmtId="175" formatCode="&quot;$ &quot;#,##0,;[Red]&quot;-$ &quot;#,##0,"/>
  </numFmts>
  <fonts count="34" x14ac:knownFonts="1">
    <font>
      <sz val="11"/>
      <color theme="1"/>
      <name val="Calibri"/>
      <family val="2"/>
      <charset val="1"/>
    </font>
    <font>
      <sz val="10"/>
      <name val="Arial"/>
      <family val="2"/>
    </font>
    <font>
      <sz val="10"/>
      <color theme="1"/>
      <name val="Aptos"/>
      <family val="2"/>
      <charset val="1"/>
    </font>
    <font>
      <b/>
      <sz val="16"/>
      <name val="Aptos"/>
      <family val="2"/>
      <charset val="1"/>
    </font>
    <font>
      <i/>
      <sz val="10"/>
      <color rgb="FF595959"/>
      <name val="Aptos"/>
      <family val="2"/>
      <charset val="1"/>
    </font>
    <font>
      <i/>
      <sz val="10"/>
      <color rgb="FF808080"/>
      <name val="Aptos"/>
      <family val="2"/>
      <charset val="1"/>
    </font>
    <font>
      <b/>
      <sz val="10"/>
      <name val="Aptos"/>
      <family val="2"/>
      <charset val="1"/>
    </font>
    <font>
      <sz val="10"/>
      <color rgb="FF000000"/>
      <name val="Aptos"/>
      <family val="2"/>
      <charset val="1"/>
    </font>
    <font>
      <sz val="10"/>
      <name val="Aptos"/>
      <family val="2"/>
      <charset val="1"/>
    </font>
    <font>
      <u/>
      <sz val="10"/>
      <color theme="10"/>
      <name val="Aptos"/>
      <family val="2"/>
      <charset val="1"/>
    </font>
    <font>
      <b/>
      <sz val="10"/>
      <color rgb="FFFFFFFF"/>
      <name val="Aptos"/>
      <family val="2"/>
      <charset val="1"/>
    </font>
    <font>
      <sz val="10"/>
      <color rgb="FF0000FF"/>
      <name val="Aptos"/>
      <family val="2"/>
      <charset val="1"/>
    </font>
    <font>
      <sz val="10"/>
      <color rgb="FF808080"/>
      <name val="Aptos"/>
      <family val="2"/>
      <charset val="1"/>
    </font>
    <font>
      <sz val="10"/>
      <color rgb="FF008000"/>
      <name val="Aptos"/>
      <family val="2"/>
      <charset val="1"/>
    </font>
    <font>
      <i/>
      <sz val="10"/>
      <name val="Aptos"/>
      <family val="2"/>
      <charset val="1"/>
    </font>
    <font>
      <b/>
      <sz val="10"/>
      <color rgb="FFFF0000"/>
      <name val="Aptos"/>
      <family val="2"/>
      <charset val="1"/>
    </font>
    <font>
      <b/>
      <u/>
      <sz val="10"/>
      <color rgb="FF000000"/>
      <name val="Aptos"/>
      <family val="2"/>
      <charset val="1"/>
    </font>
    <font>
      <b/>
      <sz val="10"/>
      <color rgb="FF000000"/>
      <name val="Aptos"/>
      <family val="2"/>
      <charset val="1"/>
    </font>
    <font>
      <i/>
      <sz val="16"/>
      <name val="Aptos"/>
      <family val="2"/>
      <charset val="1"/>
    </font>
    <font>
      <sz val="11"/>
      <color rgb="FF000000"/>
      <name val="Aptos"/>
      <family val="2"/>
      <charset val="1"/>
    </font>
    <font>
      <b/>
      <sz val="11"/>
      <color rgb="FFFFFFFF"/>
      <name val="Aptos"/>
      <family val="2"/>
      <charset val="1"/>
    </font>
    <font>
      <sz val="11"/>
      <color rgb="FF0000FF"/>
      <name val="Aptos"/>
      <family val="2"/>
      <charset val="1"/>
    </font>
    <font>
      <sz val="11"/>
      <color rgb="FF008000"/>
      <name val="Aptos"/>
      <family val="2"/>
      <charset val="1"/>
    </font>
    <font>
      <b/>
      <sz val="11"/>
      <color rgb="FF000000"/>
      <name val="Aptos"/>
      <family val="2"/>
      <charset val="1"/>
    </font>
    <font>
      <i/>
      <sz val="9"/>
      <color rgb="FF808080"/>
      <name val="Aptos"/>
      <family val="2"/>
      <charset val="1"/>
    </font>
    <font>
      <sz val="11"/>
      <color theme="1"/>
      <name val="Aptos"/>
      <family val="2"/>
      <charset val="1"/>
    </font>
    <font>
      <b/>
      <sz val="11"/>
      <name val="Aptos"/>
      <family val="2"/>
      <charset val="1"/>
    </font>
    <font>
      <i/>
      <sz val="11"/>
      <color rgb="FF808080"/>
      <name val="Aptos"/>
      <family val="2"/>
      <charset val="1"/>
    </font>
    <font>
      <u/>
      <sz val="11"/>
      <color theme="10"/>
      <name val="Calibri"/>
      <family val="2"/>
      <charset val="1"/>
    </font>
    <font>
      <u/>
      <sz val="11"/>
      <color theme="10"/>
      <name val="Aptos"/>
      <family val="2"/>
      <charset val="1"/>
    </font>
    <font>
      <b/>
      <sz val="10"/>
      <color rgb="FF92D050"/>
      <name val="Aptos"/>
      <family val="2"/>
      <charset val="1"/>
    </font>
    <font>
      <sz val="11"/>
      <color theme="1"/>
      <name val="Calibri"/>
      <family val="2"/>
      <charset val="1"/>
    </font>
    <font>
      <sz val="9"/>
      <color indexed="81"/>
      <name val="Tahoma"/>
      <family val="2"/>
    </font>
    <font>
      <b/>
      <sz val="9"/>
      <color indexed="81"/>
      <name val="Tahoma"/>
      <family val="2"/>
    </font>
  </fonts>
  <fills count="14">
    <fill>
      <patternFill patternType="none"/>
    </fill>
    <fill>
      <patternFill patternType="gray125"/>
    </fill>
    <fill>
      <patternFill patternType="solid">
        <fgColor rgb="FF1F4E78"/>
        <bgColor rgb="FF003366"/>
      </patternFill>
    </fill>
    <fill>
      <patternFill patternType="solid">
        <fgColor rgb="FFD9E1F2"/>
        <bgColor rgb="FFD9D9D9"/>
      </patternFill>
    </fill>
    <fill>
      <patternFill patternType="solid">
        <fgColor theme="2"/>
        <bgColor rgb="FFF2F2F2"/>
      </patternFill>
    </fill>
    <fill>
      <patternFill patternType="solid">
        <fgColor theme="9" tint="0.79979857783745845"/>
        <bgColor rgb="FFFCE4D6"/>
      </patternFill>
    </fill>
    <fill>
      <patternFill patternType="solid">
        <fgColor rgb="FFFFF2CC"/>
        <bgColor rgb="FFFDEADA"/>
      </patternFill>
    </fill>
    <fill>
      <patternFill patternType="solid">
        <fgColor rgb="FFF2F2F2"/>
        <bgColor rgb="FFEEECE1"/>
      </patternFill>
    </fill>
    <fill>
      <patternFill patternType="solid">
        <fgColor theme="0" tint="-0.14999847407452621"/>
        <bgColor rgb="FFD9E1F2"/>
      </patternFill>
    </fill>
    <fill>
      <patternFill patternType="solid">
        <fgColor theme="5"/>
        <bgColor rgb="FF993366"/>
      </patternFill>
    </fill>
    <fill>
      <patternFill patternType="solid">
        <fgColor rgb="FF92D050"/>
        <bgColor rgb="FF9BBB59"/>
      </patternFill>
    </fill>
    <fill>
      <patternFill patternType="solid">
        <fgColor theme="5" tint="0.59959715567491678"/>
        <bgColor rgb="FFBFBFBF"/>
      </patternFill>
    </fill>
    <fill>
      <patternFill patternType="solid">
        <fgColor rgb="FFFCE4D6"/>
        <bgColor rgb="FFFDEADA"/>
      </patternFill>
    </fill>
    <fill>
      <patternFill patternType="solid">
        <fgColor rgb="FFFFFF00"/>
        <bgColor rgb="FFFFFF00"/>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rgb="FFBFBFBF"/>
      </right>
      <top style="thin">
        <color rgb="FFBFBFBF"/>
      </top>
      <bottom style="thin">
        <color rgb="FFBFBFBF"/>
      </bottom>
      <diagonal/>
    </border>
    <border>
      <left style="thin">
        <color theme="0" tint="-0.14999847407452621"/>
      </left>
      <right style="thin">
        <color theme="0" tint="-0.14999847407452621"/>
      </right>
      <top style="thin">
        <color theme="0" tint="-0.14999847407452621"/>
      </top>
      <bottom/>
      <diagonal/>
    </border>
    <border>
      <left/>
      <right/>
      <top style="thin">
        <color rgb="FFBFBFBF"/>
      </top>
      <bottom style="thin">
        <color rgb="FFBFBFBF"/>
      </bottom>
      <diagonal/>
    </border>
    <border>
      <left/>
      <right/>
      <top/>
      <bottom style="thin">
        <color rgb="FFBFBFBF"/>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s>
  <cellStyleXfs count="3">
    <xf numFmtId="0" fontId="0" fillId="0" borderId="0"/>
    <xf numFmtId="0" fontId="28" fillId="0" borderId="0"/>
    <xf numFmtId="9" fontId="31" fillId="0" borderId="0"/>
  </cellStyleXfs>
  <cellXfs count="264">
    <xf numFmtId="0" fontId="0" fillId="0" borderId="0" xfId="0"/>
    <xf numFmtId="0" fontId="27" fillId="0" borderId="0" xfId="0" applyFont="1" applyAlignment="1">
      <alignment vertical="center" wrapText="1"/>
    </xf>
    <xf numFmtId="0" fontId="6" fillId="3" borderId="0" xfId="0" applyFont="1" applyFill="1"/>
    <xf numFmtId="0" fontId="24" fillId="0" borderId="0" xfId="0" applyFont="1"/>
    <xf numFmtId="0" fontId="26" fillId="3" borderId="0" xfId="0" applyFont="1" applyFill="1"/>
    <xf numFmtId="0" fontId="24"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2" fillId="0" borderId="0" xfId="0" applyFont="1" applyAlignment="1">
      <alignment vertical="center" wrapText="1"/>
    </xf>
    <xf numFmtId="0" fontId="3" fillId="0" borderId="0" xfId="0" applyFont="1" applyAlignment="1">
      <alignment vertical="center"/>
    </xf>
    <xf numFmtId="0" fontId="5" fillId="0" borderId="0" xfId="0" applyFont="1" applyAlignment="1">
      <alignment vertical="center"/>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xf>
    <xf numFmtId="0" fontId="7" fillId="0" borderId="1" xfId="0" applyFont="1" applyBorder="1" applyAlignment="1">
      <alignment vertical="center" wrapText="1"/>
    </xf>
    <xf numFmtId="3" fontId="11" fillId="0" borderId="1" xfId="0" applyNumberFormat="1" applyFont="1" applyBorder="1"/>
    <xf numFmtId="0" fontId="7" fillId="0" borderId="1" xfId="0" applyFont="1" applyBorder="1"/>
    <xf numFmtId="0" fontId="12" fillId="0" borderId="1" xfId="0" applyFont="1" applyBorder="1" applyAlignment="1">
      <alignment wrapText="1"/>
    </xf>
    <xf numFmtId="10" fontId="11" fillId="0" borderId="1" xfId="0" applyNumberFormat="1" applyFont="1" applyBorder="1"/>
    <xf numFmtId="4" fontId="2" fillId="0" borderId="0" xfId="0" applyNumberFormat="1" applyFont="1"/>
    <xf numFmtId="164" fontId="11" fillId="0" borderId="1" xfId="0" applyNumberFormat="1" applyFont="1" applyBorder="1"/>
    <xf numFmtId="0" fontId="5" fillId="0" borderId="1" xfId="0" applyFont="1" applyBorder="1" applyAlignment="1">
      <alignment wrapText="1"/>
    </xf>
    <xf numFmtId="4" fontId="11" fillId="0" borderId="1" xfId="0" applyNumberFormat="1" applyFont="1" applyBorder="1"/>
    <xf numFmtId="165" fontId="11" fillId="0" borderId="1" xfId="0" applyNumberFormat="1" applyFont="1" applyBorder="1"/>
    <xf numFmtId="166" fontId="11" fillId="0" borderId="1" xfId="0" applyNumberFormat="1" applyFont="1" applyBorder="1"/>
    <xf numFmtId="167" fontId="11" fillId="0" borderId="1" xfId="0" applyNumberFormat="1" applyFont="1" applyBorder="1"/>
    <xf numFmtId="3" fontId="13" fillId="0" borderId="1" xfId="0" applyNumberFormat="1" applyFont="1" applyBorder="1"/>
    <xf numFmtId="0" fontId="12" fillId="0" borderId="1" xfId="0" applyFont="1" applyBorder="1"/>
    <xf numFmtId="3" fontId="2" fillId="0" borderId="0" xfId="0" applyNumberFormat="1" applyFont="1"/>
    <xf numFmtId="168" fontId="2" fillId="0" borderId="0" xfId="0" applyNumberFormat="1" applyFont="1"/>
    <xf numFmtId="10" fontId="13" fillId="0" borderId="1" xfId="0" applyNumberFormat="1" applyFont="1" applyBorder="1"/>
    <xf numFmtId="169" fontId="2" fillId="0" borderId="0" xfId="0" applyNumberFormat="1" applyFont="1"/>
    <xf numFmtId="0" fontId="6" fillId="4" borderId="1" xfId="0" applyFont="1" applyFill="1" applyBorder="1"/>
    <xf numFmtId="168" fontId="7" fillId="4" borderId="1" xfId="0" applyNumberFormat="1" applyFont="1" applyFill="1" applyBorder="1"/>
    <xf numFmtId="0" fontId="12" fillId="4" borderId="1" xfId="0" applyFont="1" applyFill="1" applyBorder="1"/>
    <xf numFmtId="0" fontId="5" fillId="4" borderId="1" xfId="0" applyFont="1" applyFill="1" applyBorder="1" applyAlignment="1">
      <alignment wrapText="1"/>
    </xf>
    <xf numFmtId="0" fontId="5" fillId="0" borderId="1" xfId="0" applyFont="1" applyBorder="1" applyAlignment="1">
      <alignment horizontal="left" vertical="center" wrapText="1"/>
    </xf>
    <xf numFmtId="170" fontId="2" fillId="0" borderId="0" xfId="0" applyNumberFormat="1" applyFont="1"/>
    <xf numFmtId="0" fontId="7" fillId="0" borderId="1" xfId="0" applyFont="1" applyBorder="1" applyAlignment="1">
      <alignment vertical="center"/>
    </xf>
    <xf numFmtId="10" fontId="13" fillId="0" borderId="1" xfId="0" applyNumberFormat="1" applyFont="1" applyBorder="1" applyAlignment="1">
      <alignment vertical="center"/>
    </xf>
    <xf numFmtId="0" fontId="12" fillId="0" borderId="1" xfId="0" applyFont="1" applyBorder="1" applyAlignment="1">
      <alignment vertical="center"/>
    </xf>
    <xf numFmtId="0" fontId="5" fillId="0" borderId="1" xfId="0" applyFont="1" applyBorder="1" applyAlignment="1">
      <alignment vertical="center" wrapText="1"/>
    </xf>
    <xf numFmtId="0" fontId="14" fillId="0" borderId="1" xfId="0" applyFont="1" applyBorder="1"/>
    <xf numFmtId="171" fontId="15" fillId="4" borderId="1" xfId="0" applyNumberFormat="1" applyFont="1" applyFill="1" applyBorder="1"/>
    <xf numFmtId="0" fontId="16" fillId="0" borderId="1" xfId="0" applyFont="1" applyBorder="1" applyAlignment="1">
      <alignment vertical="center" wrapText="1"/>
    </xf>
    <xf numFmtId="9" fontId="2" fillId="0" borderId="0" xfId="0" applyNumberFormat="1" applyFont="1"/>
    <xf numFmtId="172" fontId="2" fillId="0" borderId="0" xfId="0" applyNumberFormat="1" applyFont="1"/>
    <xf numFmtId="168" fontId="13" fillId="0" borderId="1" xfId="0" applyNumberFormat="1" applyFont="1" applyBorder="1"/>
    <xf numFmtId="0" fontId="5" fillId="0" borderId="1" xfId="0" applyFont="1" applyBorder="1"/>
    <xf numFmtId="3" fontId="7" fillId="0" borderId="1" xfId="0" applyNumberFormat="1" applyFont="1" applyBorder="1"/>
    <xf numFmtId="164" fontId="13" fillId="0" borderId="1" xfId="0" applyNumberFormat="1" applyFont="1" applyBorder="1"/>
    <xf numFmtId="0" fontId="6" fillId="5" borderId="1" xfId="0" applyFont="1" applyFill="1" applyBorder="1"/>
    <xf numFmtId="167" fontId="7" fillId="5" borderId="1" xfId="0" applyNumberFormat="1" applyFont="1" applyFill="1" applyBorder="1"/>
    <xf numFmtId="0" fontId="5" fillId="5" borderId="1" xfId="0" applyFont="1" applyFill="1" applyBorder="1"/>
    <xf numFmtId="0" fontId="5" fillId="5" borderId="1" xfId="0" applyFont="1" applyFill="1" applyBorder="1" applyAlignment="1">
      <alignment wrapText="1"/>
    </xf>
    <xf numFmtId="9" fontId="13" fillId="0" borderId="1" xfId="0" applyNumberFormat="1" applyFont="1" applyBorder="1"/>
    <xf numFmtId="0" fontId="2" fillId="0" borderId="1" xfId="0" applyFont="1" applyBorder="1"/>
    <xf numFmtId="3" fontId="7" fillId="0" borderId="1" xfId="0" applyNumberFormat="1" applyFont="1" applyBorder="1" applyAlignment="1">
      <alignment vertical="center"/>
    </xf>
    <xf numFmtId="0" fontId="5" fillId="0" borderId="1" xfId="0" applyFont="1" applyBorder="1" applyAlignment="1">
      <alignment vertical="center"/>
    </xf>
    <xf numFmtId="172" fontId="7" fillId="0" borderId="1" xfId="0" applyNumberFormat="1" applyFont="1" applyBorder="1"/>
    <xf numFmtId="166" fontId="13" fillId="0" borderId="1" xfId="0" applyNumberFormat="1" applyFont="1" applyBorder="1"/>
    <xf numFmtId="172" fontId="7" fillId="0" borderId="1" xfId="0" applyNumberFormat="1" applyFont="1" applyBorder="1" applyAlignment="1">
      <alignment vertical="center"/>
    </xf>
    <xf numFmtId="0" fontId="6" fillId="6" borderId="1" xfId="0" applyFont="1" applyFill="1" applyBorder="1"/>
    <xf numFmtId="167" fontId="6" fillId="6" borderId="1" xfId="0" applyNumberFormat="1" applyFont="1" applyFill="1" applyBorder="1"/>
    <xf numFmtId="0" fontId="5" fillId="6" borderId="1" xfId="0" applyFont="1" applyFill="1" applyBorder="1"/>
    <xf numFmtId="0" fontId="5" fillId="6" borderId="1" xfId="0" applyFont="1" applyFill="1" applyBorder="1" applyAlignment="1">
      <alignment wrapText="1"/>
    </xf>
    <xf numFmtId="165" fontId="14" fillId="0" borderId="1" xfId="0" applyNumberFormat="1" applyFont="1" applyBorder="1"/>
    <xf numFmtId="172" fontId="7" fillId="0" borderId="0" xfId="0" applyNumberFormat="1" applyFont="1"/>
    <xf numFmtId="0" fontId="5" fillId="0" borderId="0" xfId="0" applyFont="1" applyAlignment="1">
      <alignment wrapText="1"/>
    </xf>
    <xf numFmtId="172" fontId="13" fillId="0" borderId="1" xfId="0" applyNumberFormat="1" applyFont="1" applyBorder="1"/>
    <xf numFmtId="172" fontId="13" fillId="0" borderId="0" xfId="0" applyNumberFormat="1" applyFont="1"/>
    <xf numFmtId="172" fontId="6" fillId="6" borderId="1" xfId="0" applyNumberFormat="1" applyFont="1" applyFill="1" applyBorder="1"/>
    <xf numFmtId="164" fontId="7" fillId="0" borderId="1" xfId="0" applyNumberFormat="1" applyFont="1" applyBorder="1"/>
    <xf numFmtId="164" fontId="6" fillId="6" borderId="1" xfId="0" applyNumberFormat="1" applyFont="1" applyFill="1" applyBorder="1"/>
    <xf numFmtId="165" fontId="7" fillId="0" borderId="1" xfId="0" applyNumberFormat="1" applyFont="1" applyBorder="1"/>
    <xf numFmtId="167" fontId="13" fillId="0" borderId="1" xfId="0" applyNumberFormat="1" applyFont="1" applyBorder="1"/>
    <xf numFmtId="0" fontId="6" fillId="0" borderId="1" xfId="0" applyFont="1" applyBorder="1"/>
    <xf numFmtId="167" fontId="6" fillId="0" borderId="1" xfId="0" applyNumberFormat="1" applyFont="1" applyBorder="1"/>
    <xf numFmtId="165" fontId="13" fillId="0" borderId="1" xfId="0" applyNumberFormat="1" applyFont="1" applyBorder="1"/>
    <xf numFmtId="167" fontId="7" fillId="0" borderId="1" xfId="0" applyNumberFormat="1" applyFont="1" applyBorder="1"/>
    <xf numFmtId="0" fontId="2" fillId="0" borderId="0" xfId="0" applyFont="1" applyAlignment="1">
      <alignment wrapText="1"/>
    </xf>
    <xf numFmtId="0" fontId="7" fillId="0" borderId="0" xfId="0" applyFont="1" applyAlignment="1">
      <alignment wrapText="1"/>
    </xf>
    <xf numFmtId="0" fontId="10" fillId="2" borderId="1" xfId="0" applyFont="1" applyFill="1" applyBorder="1" applyAlignment="1">
      <alignment horizontal="center" vertical="center"/>
    </xf>
    <xf numFmtId="0" fontId="2" fillId="0" borderId="0" xfId="0" applyFont="1" applyAlignment="1">
      <alignment vertical="center"/>
    </xf>
    <xf numFmtId="167" fontId="13" fillId="0" borderId="1" xfId="0" applyNumberFormat="1" applyFont="1" applyBorder="1" applyAlignment="1">
      <alignment vertical="center"/>
    </xf>
    <xf numFmtId="3" fontId="2" fillId="0" borderId="0" xfId="0" applyNumberFormat="1" applyFont="1" applyAlignment="1">
      <alignment vertical="center"/>
    </xf>
    <xf numFmtId="0" fontId="17" fillId="4" borderId="1" xfId="0" applyFont="1" applyFill="1" applyBorder="1" applyAlignment="1">
      <alignment vertical="center" wrapText="1"/>
    </xf>
    <xf numFmtId="167" fontId="17" fillId="4" borderId="1" xfId="0" applyNumberFormat="1" applyFont="1" applyFill="1" applyBorder="1" applyAlignment="1">
      <alignment vertical="center"/>
    </xf>
    <xf numFmtId="0" fontId="5" fillId="4" borderId="1" xfId="0" applyFont="1" applyFill="1" applyBorder="1" applyAlignment="1">
      <alignment vertical="center"/>
    </xf>
    <xf numFmtId="3" fontId="13" fillId="0" borderId="1" xfId="0" applyNumberFormat="1" applyFont="1" applyBorder="1" applyAlignment="1">
      <alignment vertical="center"/>
    </xf>
    <xf numFmtId="173" fontId="13" fillId="0" borderId="1" xfId="0" applyNumberFormat="1" applyFont="1" applyBorder="1" applyAlignment="1">
      <alignment vertical="center"/>
    </xf>
    <xf numFmtId="0" fontId="14" fillId="0" borderId="1" xfId="0" applyFont="1" applyBorder="1" applyAlignment="1">
      <alignment vertical="center" wrapText="1"/>
    </xf>
    <xf numFmtId="167" fontId="7" fillId="0" borderId="1" xfId="0" applyNumberFormat="1" applyFont="1" applyBorder="1" applyAlignment="1">
      <alignment vertical="center"/>
    </xf>
    <xf numFmtId="0" fontId="5" fillId="4" borderId="1" xfId="0" applyFont="1" applyFill="1" applyBorder="1" applyAlignment="1">
      <alignment vertical="center" wrapText="1"/>
    </xf>
    <xf numFmtId="0" fontId="17" fillId="0" borderId="1" xfId="0" applyFont="1" applyBorder="1" applyAlignment="1">
      <alignment vertical="center" wrapText="1"/>
    </xf>
    <xf numFmtId="167" fontId="17" fillId="0" borderId="1" xfId="0" applyNumberFormat="1" applyFont="1" applyBorder="1" applyAlignment="1">
      <alignment vertical="center"/>
    </xf>
    <xf numFmtId="0" fontId="17" fillId="6" borderId="1" xfId="0" applyFont="1" applyFill="1" applyBorder="1" applyAlignment="1">
      <alignment vertical="center" wrapText="1"/>
    </xf>
    <xf numFmtId="167" fontId="17" fillId="6" borderId="1" xfId="0" applyNumberFormat="1" applyFont="1" applyFill="1" applyBorder="1" applyAlignment="1">
      <alignment vertical="center"/>
    </xf>
    <xf numFmtId="0" fontId="5" fillId="6" borderId="1" xfId="0" applyFont="1" applyFill="1" applyBorder="1" applyAlignment="1">
      <alignment vertical="center"/>
    </xf>
    <xf numFmtId="0" fontId="5" fillId="6" borderId="1" xfId="0" applyFont="1" applyFill="1" applyBorder="1" applyAlignment="1">
      <alignment vertical="center" wrapText="1"/>
    </xf>
    <xf numFmtId="0" fontId="2" fillId="0" borderId="1" xfId="0" applyFont="1" applyBorder="1" applyAlignment="1">
      <alignment vertical="center"/>
    </xf>
    <xf numFmtId="0" fontId="18" fillId="7" borderId="0" xfId="0" applyFont="1" applyFill="1"/>
    <xf numFmtId="0" fontId="3" fillId="0" borderId="0" xfId="0" applyFont="1" applyAlignment="1">
      <alignment wrapText="1"/>
    </xf>
    <xf numFmtId="0" fontId="19" fillId="0" borderId="0" xfId="0" applyFont="1" applyAlignment="1">
      <alignment wrapText="1"/>
    </xf>
    <xf numFmtId="0" fontId="19" fillId="0" borderId="0" xfId="0" applyFont="1"/>
    <xf numFmtId="0" fontId="20" fillId="2" borderId="0" xfId="0" applyFont="1" applyFill="1" applyAlignment="1">
      <alignment wrapText="1"/>
    </xf>
    <xf numFmtId="0" fontId="20" fillId="2" borderId="0" xfId="0" applyFont="1" applyFill="1" applyAlignment="1">
      <alignment horizontal="center"/>
    </xf>
    <xf numFmtId="0" fontId="19" fillId="0" borderId="0" xfId="0" applyFont="1" applyAlignment="1">
      <alignment horizontal="center"/>
    </xf>
    <xf numFmtId="0" fontId="19" fillId="0" borderId="2" xfId="0" applyFont="1" applyBorder="1" applyAlignment="1">
      <alignment vertical="center" wrapText="1"/>
    </xf>
    <xf numFmtId="9" fontId="19" fillId="0" borderId="3" xfId="0" applyNumberFormat="1" applyFont="1" applyBorder="1" applyAlignment="1">
      <alignment vertical="center"/>
    </xf>
    <xf numFmtId="9" fontId="21" fillId="0" borderId="1" xfId="0" applyNumberFormat="1" applyFont="1" applyBorder="1" applyAlignment="1">
      <alignment vertical="center"/>
    </xf>
    <xf numFmtId="0" fontId="19" fillId="0" borderId="0" xfId="0" applyFont="1" applyAlignment="1">
      <alignment vertical="center" wrapText="1"/>
    </xf>
    <xf numFmtId="0" fontId="19" fillId="0" borderId="0" xfId="0" applyFont="1" applyAlignment="1">
      <alignment vertical="center"/>
    </xf>
    <xf numFmtId="3" fontId="19" fillId="0" borderId="3" xfId="0" applyNumberFormat="1" applyFont="1" applyBorder="1" applyAlignment="1">
      <alignment vertical="center"/>
    </xf>
    <xf numFmtId="3" fontId="22" fillId="0" borderId="1" xfId="0" applyNumberFormat="1" applyFont="1" applyBorder="1" applyAlignment="1">
      <alignment vertical="center"/>
    </xf>
    <xf numFmtId="0" fontId="19" fillId="0" borderId="4" xfId="0" applyFont="1" applyBorder="1" applyAlignment="1">
      <alignment vertical="center" wrapText="1"/>
    </xf>
    <xf numFmtId="167" fontId="19" fillId="0" borderId="3" xfId="0" applyNumberFormat="1" applyFont="1" applyBorder="1" applyAlignment="1">
      <alignment vertical="center"/>
    </xf>
    <xf numFmtId="171" fontId="22" fillId="0" borderId="1" xfId="0" applyNumberFormat="1" applyFont="1" applyBorder="1" applyAlignment="1">
      <alignment vertical="center"/>
    </xf>
    <xf numFmtId="0" fontId="19" fillId="0" borderId="1" xfId="0" applyFont="1" applyBorder="1" applyAlignment="1">
      <alignment vertical="center" wrapText="1"/>
    </xf>
    <xf numFmtId="3" fontId="19" fillId="0" borderId="1" xfId="0" applyNumberFormat="1" applyFont="1" applyBorder="1" applyAlignment="1">
      <alignment vertical="center"/>
    </xf>
    <xf numFmtId="10" fontId="22" fillId="0" borderId="1" xfId="0" applyNumberFormat="1" applyFont="1" applyBorder="1" applyAlignment="1">
      <alignment vertical="center"/>
    </xf>
    <xf numFmtId="172" fontId="19" fillId="0" borderId="3" xfId="0" applyNumberFormat="1" applyFont="1" applyBorder="1" applyAlignment="1">
      <alignment vertical="center"/>
    </xf>
    <xf numFmtId="173" fontId="22" fillId="0" borderId="1" xfId="0" applyNumberFormat="1" applyFont="1" applyBorder="1" applyAlignment="1">
      <alignment vertical="center"/>
    </xf>
    <xf numFmtId="172" fontId="19" fillId="0" borderId="1" xfId="0" applyNumberFormat="1" applyFont="1" applyBorder="1" applyAlignment="1">
      <alignment vertical="center"/>
    </xf>
    <xf numFmtId="0" fontId="19" fillId="0" borderId="1" xfId="0" applyFont="1" applyBorder="1" applyAlignment="1">
      <alignment wrapText="1"/>
    </xf>
    <xf numFmtId="0" fontId="19" fillId="0" borderId="3" xfId="0" applyFont="1" applyBorder="1"/>
    <xf numFmtId="3" fontId="19" fillId="0" borderId="1" xfId="0" applyNumberFormat="1" applyFont="1" applyBorder="1"/>
    <xf numFmtId="172" fontId="19" fillId="0" borderId="1" xfId="0" applyNumberFormat="1" applyFont="1" applyBorder="1"/>
    <xf numFmtId="0" fontId="19" fillId="8" borderId="1" xfId="0" applyFont="1" applyFill="1" applyBorder="1" applyAlignment="1">
      <alignment wrapText="1"/>
    </xf>
    <xf numFmtId="0" fontId="19" fillId="8" borderId="3" xfId="0" applyFont="1" applyFill="1" applyBorder="1"/>
    <xf numFmtId="172" fontId="23" fillId="8" borderId="1" xfId="0" applyNumberFormat="1" applyFont="1" applyFill="1" applyBorder="1"/>
    <xf numFmtId="172" fontId="22" fillId="0" borderId="1" xfId="0" applyNumberFormat="1" applyFont="1" applyBorder="1"/>
    <xf numFmtId="172" fontId="22" fillId="0" borderId="3" xfId="0" applyNumberFormat="1" applyFont="1" applyBorder="1"/>
    <xf numFmtId="0" fontId="19" fillId="0" borderId="3" xfId="0" applyFont="1" applyBorder="1" applyAlignment="1">
      <alignment vertical="center"/>
    </xf>
    <xf numFmtId="0" fontId="23" fillId="6" borderId="1" xfId="0" applyFont="1" applyFill="1" applyBorder="1" applyAlignment="1">
      <alignment wrapText="1"/>
    </xf>
    <xf numFmtId="172" fontId="19" fillId="6" borderId="3" xfId="0" applyNumberFormat="1" applyFont="1" applyFill="1" applyBorder="1"/>
    <xf numFmtId="172" fontId="23" fillId="6" borderId="1" xfId="0" applyNumberFormat="1" applyFont="1" applyFill="1" applyBorder="1"/>
    <xf numFmtId="172" fontId="19" fillId="0" borderId="3" xfId="0" applyNumberFormat="1" applyFont="1" applyBorder="1"/>
    <xf numFmtId="0" fontId="19" fillId="0" borderId="1" xfId="0" applyFont="1" applyBorder="1"/>
    <xf numFmtId="3" fontId="22" fillId="0" borderId="1" xfId="0" applyNumberFormat="1" applyFont="1" applyBorder="1"/>
    <xf numFmtId="0" fontId="25" fillId="0" borderId="0" xfId="0" applyFont="1" applyAlignment="1">
      <alignment wrapText="1"/>
    </xf>
    <xf numFmtId="0" fontId="25" fillId="0" borderId="0" xfId="0" applyFont="1"/>
    <xf numFmtId="0" fontId="26" fillId="0" borderId="0" xfId="0" applyFont="1"/>
    <xf numFmtId="0" fontId="27" fillId="0" borderId="0" xfId="0" applyFont="1" applyAlignment="1">
      <alignment vertical="center"/>
    </xf>
    <xf numFmtId="0" fontId="20" fillId="2" borderId="1" xfId="0" applyFont="1" applyFill="1" applyBorder="1" applyAlignment="1">
      <alignment wrapText="1"/>
    </xf>
    <xf numFmtId="0" fontId="20" fillId="2" borderId="1" xfId="0" applyFont="1" applyFill="1" applyBorder="1" applyAlignment="1">
      <alignment horizontal="center"/>
    </xf>
    <xf numFmtId="167" fontId="22" fillId="0" borderId="1" xfId="0" applyNumberFormat="1" applyFont="1" applyBorder="1"/>
    <xf numFmtId="0" fontId="27" fillId="0" borderId="1" xfId="0" applyFont="1" applyBorder="1" applyAlignment="1">
      <alignment wrapText="1"/>
    </xf>
    <xf numFmtId="0" fontId="23" fillId="0" borderId="1" xfId="0" applyFont="1" applyBorder="1" applyAlignment="1">
      <alignment vertical="center" wrapText="1"/>
    </xf>
    <xf numFmtId="167" fontId="23" fillId="0" borderId="1" xfId="0" applyNumberFormat="1" applyFont="1" applyBorder="1"/>
    <xf numFmtId="0" fontId="20" fillId="2" borderId="1" xfId="0" applyFont="1" applyFill="1" applyBorder="1" applyAlignment="1">
      <alignment horizontal="center" wrapText="1"/>
    </xf>
    <xf numFmtId="2" fontId="19" fillId="0" borderId="1" xfId="0" applyNumberFormat="1" applyFont="1" applyBorder="1" applyAlignment="1">
      <alignment vertical="center"/>
    </xf>
    <xf numFmtId="0" fontId="27" fillId="0" borderId="1" xfId="0" applyFont="1" applyBorder="1" applyAlignment="1">
      <alignment vertical="center"/>
    </xf>
    <xf numFmtId="0" fontId="27" fillId="0" borderId="1" xfId="0" applyFont="1" applyBorder="1" applyAlignment="1">
      <alignment vertical="center" wrapText="1"/>
    </xf>
    <xf numFmtId="0" fontId="25" fillId="0" borderId="0" xfId="0" applyFont="1" applyAlignment="1">
      <alignment vertical="center"/>
    </xf>
    <xf numFmtId="165" fontId="22" fillId="0" borderId="1" xfId="0" applyNumberFormat="1" applyFont="1" applyBorder="1" applyAlignment="1">
      <alignment vertical="center"/>
    </xf>
    <xf numFmtId="0" fontId="23" fillId="6" borderId="1" xfId="0" applyFont="1" applyFill="1" applyBorder="1" applyAlignment="1">
      <alignment vertical="center" wrapText="1"/>
    </xf>
    <xf numFmtId="167" fontId="23" fillId="6" borderId="1" xfId="0" applyNumberFormat="1" applyFont="1" applyFill="1" applyBorder="1" applyAlignment="1">
      <alignment vertical="center"/>
    </xf>
    <xf numFmtId="0" fontId="27" fillId="6" borderId="1" xfId="0" applyFont="1" applyFill="1" applyBorder="1" applyAlignment="1">
      <alignment vertical="center"/>
    </xf>
    <xf numFmtId="0" fontId="27" fillId="6" borderId="1" xfId="0" applyFont="1" applyFill="1" applyBorder="1" applyAlignment="1">
      <alignment vertical="center" wrapText="1"/>
    </xf>
    <xf numFmtId="174" fontId="19" fillId="0" borderId="0" xfId="0" applyNumberFormat="1" applyFont="1" applyAlignment="1">
      <alignment vertical="center"/>
    </xf>
    <xf numFmtId="10" fontId="23" fillId="6" borderId="1" xfId="0" applyNumberFormat="1" applyFont="1" applyFill="1" applyBorder="1" applyAlignment="1">
      <alignment vertical="center"/>
    </xf>
    <xf numFmtId="0" fontId="23" fillId="0" borderId="0" xfId="0" applyFont="1" applyAlignment="1">
      <alignment vertical="center"/>
    </xf>
    <xf numFmtId="0" fontId="20" fillId="2" borderId="1" xfId="0" applyFont="1" applyFill="1" applyBorder="1" applyAlignment="1">
      <alignment horizontal="center" vertical="center" wrapText="1"/>
    </xf>
    <xf numFmtId="0" fontId="20" fillId="2" borderId="1" xfId="0" applyFont="1" applyFill="1" applyBorder="1" applyAlignment="1">
      <alignment horizontal="center" vertical="center"/>
    </xf>
    <xf numFmtId="172" fontId="19" fillId="0" borderId="5" xfId="0" applyNumberFormat="1" applyFont="1" applyBorder="1" applyAlignment="1">
      <alignment vertical="center"/>
    </xf>
    <xf numFmtId="0" fontId="19" fillId="0" borderId="1" xfId="0" applyFont="1" applyBorder="1" applyAlignment="1">
      <alignment vertical="center"/>
    </xf>
    <xf numFmtId="0" fontId="27" fillId="0" borderId="3" xfId="0" applyFont="1" applyBorder="1" applyAlignment="1">
      <alignment vertical="center" wrapText="1"/>
    </xf>
    <xf numFmtId="172" fontId="22" fillId="0" borderId="5" xfId="0" applyNumberFormat="1" applyFont="1" applyBorder="1" applyAlignment="1">
      <alignment vertical="center"/>
    </xf>
    <xf numFmtId="0" fontId="19" fillId="6" borderId="1" xfId="0" applyFont="1" applyFill="1" applyBorder="1" applyAlignment="1">
      <alignment vertical="center" wrapText="1"/>
    </xf>
    <xf numFmtId="173" fontId="23" fillId="6" borderId="5" xfId="0" applyNumberFormat="1" applyFont="1" applyFill="1" applyBorder="1" applyAlignment="1">
      <alignment vertical="center"/>
    </xf>
    <xf numFmtId="173" fontId="22" fillId="0" borderId="5" xfId="0" applyNumberFormat="1" applyFont="1" applyBorder="1" applyAlignment="1">
      <alignment vertical="center"/>
    </xf>
    <xf numFmtId="165" fontId="19" fillId="0" borderId="5" xfId="0" applyNumberFormat="1" applyFont="1" applyBorder="1" applyAlignment="1">
      <alignment vertical="center"/>
    </xf>
    <xf numFmtId="172" fontId="27" fillId="0" borderId="5" xfId="0" applyNumberFormat="1" applyFont="1" applyBorder="1" applyAlignment="1">
      <alignment vertical="center"/>
    </xf>
    <xf numFmtId="0" fontId="29" fillId="0" borderId="0" xfId="1" applyFont="1"/>
    <xf numFmtId="0" fontId="6" fillId="0" borderId="0" xfId="0" applyFont="1" applyAlignment="1">
      <alignment wrapText="1"/>
    </xf>
    <xf numFmtId="0" fontId="17" fillId="0" borderId="1" xfId="0" applyFont="1" applyBorder="1" applyAlignment="1">
      <alignment wrapText="1"/>
    </xf>
    <xf numFmtId="9" fontId="10" fillId="9" borderId="1" xfId="0" applyNumberFormat="1" applyFont="1" applyFill="1" applyBorder="1" applyAlignment="1">
      <alignment horizontal="center" vertical="center"/>
    </xf>
    <xf numFmtId="9" fontId="10" fillId="2" borderId="1" xfId="0" applyNumberFormat="1" applyFont="1" applyFill="1" applyBorder="1" applyAlignment="1">
      <alignment horizontal="center" vertical="center"/>
    </xf>
    <xf numFmtId="9" fontId="17" fillId="10" borderId="1" xfId="0" applyNumberFormat="1" applyFont="1" applyFill="1" applyBorder="1" applyAlignment="1">
      <alignment horizontal="center"/>
    </xf>
    <xf numFmtId="0" fontId="6" fillId="3" borderId="6" xfId="0" applyFont="1" applyFill="1" applyBorder="1" applyAlignment="1">
      <alignment vertical="center" wrapText="1"/>
    </xf>
    <xf numFmtId="0" fontId="10" fillId="2" borderId="1" xfId="0" applyFont="1" applyFill="1" applyBorder="1" applyAlignment="1">
      <alignment horizontal="center" wrapText="1"/>
    </xf>
    <xf numFmtId="9" fontId="17" fillId="11" borderId="1" xfId="0" applyNumberFormat="1" applyFont="1" applyFill="1" applyBorder="1" applyAlignment="1">
      <alignment horizontal="center"/>
    </xf>
    <xf numFmtId="167" fontId="10" fillId="2" borderId="1" xfId="0" applyNumberFormat="1" applyFont="1" applyFill="1" applyBorder="1" applyAlignment="1">
      <alignment horizontal="center" wrapText="1"/>
    </xf>
    <xf numFmtId="167" fontId="10" fillId="10" borderId="1" xfId="0" applyNumberFormat="1" applyFont="1" applyFill="1" applyBorder="1" applyAlignment="1">
      <alignment horizontal="center" wrapText="1"/>
    </xf>
    <xf numFmtId="1" fontId="10" fillId="2" borderId="1" xfId="0" applyNumberFormat="1" applyFont="1" applyFill="1" applyBorder="1" applyAlignment="1">
      <alignment horizontal="center" wrapText="1"/>
    </xf>
    <xf numFmtId="0" fontId="7" fillId="0" borderId="1" xfId="0" applyFont="1" applyBorder="1" applyAlignment="1">
      <alignment wrapText="1"/>
    </xf>
    <xf numFmtId="167" fontId="17" fillId="0" borderId="1" xfId="0" applyNumberFormat="1" applyFont="1" applyBorder="1"/>
    <xf numFmtId="1" fontId="7" fillId="0" borderId="1" xfId="0" applyNumberFormat="1" applyFont="1" applyBorder="1" applyAlignment="1">
      <alignment horizontal="center"/>
    </xf>
    <xf numFmtId="0" fontId="15" fillId="0" borderId="0" xfId="0" applyFont="1"/>
    <xf numFmtId="0" fontId="30" fillId="0" borderId="0" xfId="0" applyFont="1"/>
    <xf numFmtId="0" fontId="2" fillId="0" borderId="7" xfId="0" applyFont="1" applyBorder="1" applyAlignment="1">
      <alignment vertical="center" wrapText="1"/>
    </xf>
    <xf numFmtId="167" fontId="7" fillId="0" borderId="0" xfId="0" applyNumberFormat="1" applyFont="1"/>
    <xf numFmtId="0" fontId="14" fillId="4" borderId="8" xfId="0" applyFont="1" applyFill="1" applyBorder="1" applyAlignment="1">
      <alignment horizontal="center" vertical="center"/>
    </xf>
    <xf numFmtId="167" fontId="2" fillId="0" borderId="8" xfId="0" applyNumberFormat="1" applyFont="1" applyBorder="1" applyAlignment="1">
      <alignment horizontal="center" vertical="center"/>
    </xf>
    <xf numFmtId="0" fontId="26" fillId="0" borderId="0" xfId="0" applyFont="1" applyAlignment="1">
      <alignment wrapText="1"/>
    </xf>
    <xf numFmtId="0" fontId="20" fillId="2" borderId="0" xfId="0" applyFont="1" applyFill="1"/>
    <xf numFmtId="9" fontId="20" fillId="2" borderId="0" xfId="0" applyNumberFormat="1" applyFont="1" applyFill="1" applyAlignment="1">
      <alignment horizontal="center"/>
    </xf>
    <xf numFmtId="172" fontId="19" fillId="0" borderId="1" xfId="0" applyNumberFormat="1" applyFont="1" applyBorder="1" applyAlignment="1">
      <alignment wrapText="1"/>
    </xf>
    <xf numFmtId="10" fontId="23" fillId="6" borderId="1" xfId="0" applyNumberFormat="1" applyFont="1" applyFill="1" applyBorder="1"/>
    <xf numFmtId="172" fontId="19" fillId="0" borderId="1" xfId="0" applyNumberFormat="1" applyFont="1" applyBorder="1" applyAlignment="1">
      <alignment horizontal="right"/>
    </xf>
    <xf numFmtId="172" fontId="19" fillId="0" borderId="0" xfId="0" applyNumberFormat="1" applyFont="1" applyAlignment="1">
      <alignment horizontal="right"/>
    </xf>
    <xf numFmtId="172" fontId="19" fillId="0" borderId="0" xfId="0" applyNumberFormat="1" applyFont="1" applyAlignment="1">
      <alignment wrapText="1"/>
    </xf>
    <xf numFmtId="172" fontId="19" fillId="0" borderId="0" xfId="0" applyNumberFormat="1" applyFont="1"/>
    <xf numFmtId="172" fontId="20" fillId="2" borderId="0" xfId="0" applyNumberFormat="1" applyFont="1" applyFill="1" applyAlignment="1">
      <alignment horizontal="center"/>
    </xf>
    <xf numFmtId="172" fontId="22" fillId="0" borderId="1" xfId="0" applyNumberFormat="1" applyFont="1" applyBorder="1" applyAlignment="1">
      <alignment vertical="center"/>
    </xf>
    <xf numFmtId="172" fontId="19" fillId="0" borderId="1" xfId="0" applyNumberFormat="1" applyFont="1" applyBorder="1" applyAlignment="1">
      <alignment horizontal="right" vertical="center"/>
    </xf>
    <xf numFmtId="10" fontId="19" fillId="0" borderId="0" xfId="0" applyNumberFormat="1" applyFont="1"/>
    <xf numFmtId="172" fontId="19" fillId="0" borderId="1" xfId="0" applyNumberFormat="1" applyFont="1" applyBorder="1" applyAlignment="1">
      <alignment horizontal="center"/>
    </xf>
    <xf numFmtId="172" fontId="19" fillId="0" borderId="0" xfId="0" applyNumberFormat="1" applyFont="1" applyAlignment="1">
      <alignment horizontal="right" vertical="center"/>
    </xf>
    <xf numFmtId="172" fontId="19" fillId="0" borderId="0" xfId="0" applyNumberFormat="1" applyFont="1" applyAlignment="1">
      <alignment horizontal="center" vertical="center"/>
    </xf>
    <xf numFmtId="172" fontId="19" fillId="0" borderId="0" xfId="0" applyNumberFormat="1" applyFont="1" applyAlignment="1">
      <alignment horizontal="center"/>
    </xf>
    <xf numFmtId="3" fontId="19" fillId="0" borderId="0" xfId="0" applyNumberFormat="1" applyFont="1"/>
    <xf numFmtId="9" fontId="19" fillId="0" borderId="0" xfId="0" applyNumberFormat="1" applyFont="1" applyAlignment="1">
      <alignment horizontal="center"/>
    </xf>
    <xf numFmtId="0" fontId="20" fillId="2" borderId="1" xfId="0" applyFont="1" applyFill="1" applyBorder="1"/>
    <xf numFmtId="0" fontId="20" fillId="2" borderId="9" xfId="0" applyFont="1" applyFill="1" applyBorder="1"/>
    <xf numFmtId="0" fontId="24" fillId="0" borderId="1" xfId="0" applyFont="1" applyBorder="1"/>
    <xf numFmtId="9" fontId="21" fillId="0" borderId="1" xfId="0" applyNumberFormat="1" applyFont="1" applyBorder="1"/>
    <xf numFmtId="9" fontId="21" fillId="0" borderId="10" xfId="0" applyNumberFormat="1" applyFont="1" applyBorder="1"/>
    <xf numFmtId="0" fontId="24" fillId="0" borderId="1" xfId="0" applyFont="1" applyBorder="1" applyAlignment="1">
      <alignment wrapText="1"/>
    </xf>
    <xf numFmtId="0" fontId="20" fillId="2" borderId="9" xfId="0" applyFont="1" applyFill="1" applyBorder="1" applyAlignment="1">
      <alignment wrapText="1"/>
    </xf>
    <xf numFmtId="0" fontId="20" fillId="2" borderId="9" xfId="0" applyFont="1" applyFill="1" applyBorder="1" applyAlignment="1">
      <alignment horizontal="center"/>
    </xf>
    <xf numFmtId="0" fontId="23" fillId="12" borderId="2" xfId="0" applyFont="1" applyFill="1" applyBorder="1" applyAlignment="1">
      <alignment wrapText="1"/>
    </xf>
    <xf numFmtId="0" fontId="24" fillId="12" borderId="2" xfId="0" applyFont="1" applyFill="1" applyBorder="1"/>
    <xf numFmtId="3" fontId="23" fillId="12" borderId="2" xfId="0" applyNumberFormat="1" applyFont="1" applyFill="1" applyBorder="1"/>
    <xf numFmtId="0" fontId="24" fillId="0" borderId="2" xfId="0" applyFont="1" applyBorder="1" applyAlignment="1">
      <alignment wrapText="1"/>
    </xf>
    <xf numFmtId="173" fontId="23" fillId="12" borderId="2" xfId="0" applyNumberFormat="1" applyFont="1" applyFill="1" applyBorder="1"/>
    <xf numFmtId="171" fontId="23" fillId="12" borderId="2" xfId="0" applyNumberFormat="1" applyFont="1" applyFill="1" applyBorder="1"/>
    <xf numFmtId="10" fontId="23" fillId="12" borderId="2" xfId="0" applyNumberFormat="1" applyFont="1" applyFill="1" applyBorder="1"/>
    <xf numFmtId="175" fontId="23" fillId="12" borderId="2" xfId="0" applyNumberFormat="1" applyFont="1" applyFill="1" applyBorder="1"/>
    <xf numFmtId="0" fontId="23" fillId="6" borderId="2" xfId="0" applyFont="1" applyFill="1" applyBorder="1" applyAlignment="1">
      <alignment wrapText="1"/>
    </xf>
    <xf numFmtId="172" fontId="23" fillId="6" borderId="2" xfId="0" applyNumberFormat="1" applyFont="1" applyFill="1" applyBorder="1"/>
    <xf numFmtId="10" fontId="23" fillId="6" borderId="2" xfId="0" applyNumberFormat="1" applyFont="1" applyFill="1" applyBorder="1"/>
    <xf numFmtId="173" fontId="23" fillId="6" borderId="2" xfId="0" applyNumberFormat="1" applyFont="1" applyFill="1" applyBorder="1"/>
    <xf numFmtId="2" fontId="23" fillId="6" borderId="2" xfId="0" applyNumberFormat="1" applyFont="1" applyFill="1" applyBorder="1"/>
    <xf numFmtId="9" fontId="21" fillId="0" borderId="3" xfId="0" applyNumberFormat="1" applyFont="1" applyBorder="1" applyAlignment="1">
      <alignment vertical="center"/>
    </xf>
    <xf numFmtId="3" fontId="22" fillId="0" borderId="3" xfId="0" applyNumberFormat="1" applyFont="1" applyBorder="1" applyAlignment="1">
      <alignment vertical="center"/>
    </xf>
    <xf numFmtId="171" fontId="22" fillId="0" borderId="3" xfId="0" applyNumberFormat="1" applyFont="1" applyBorder="1" applyAlignment="1">
      <alignment vertical="center"/>
    </xf>
    <xf numFmtId="10" fontId="22" fillId="0" borderId="3" xfId="0" applyNumberFormat="1" applyFont="1" applyBorder="1" applyAlignment="1">
      <alignment vertical="center"/>
    </xf>
    <xf numFmtId="173" fontId="22" fillId="0" borderId="3" xfId="0" applyNumberFormat="1" applyFont="1" applyBorder="1" applyAlignment="1">
      <alignment vertical="center"/>
    </xf>
    <xf numFmtId="0" fontId="19" fillId="8" borderId="1" xfId="0" applyFont="1" applyFill="1" applyBorder="1" applyAlignment="1">
      <alignment vertical="center" wrapText="1"/>
    </xf>
    <xf numFmtId="172" fontId="19" fillId="8" borderId="3" xfId="0" applyNumberFormat="1" applyFont="1" applyFill="1" applyBorder="1" applyAlignment="1">
      <alignment vertical="center"/>
    </xf>
    <xf numFmtId="172" fontId="19" fillId="8" borderId="1" xfId="0" applyNumberFormat="1" applyFont="1" applyFill="1" applyBorder="1" applyAlignment="1">
      <alignment vertical="center"/>
    </xf>
    <xf numFmtId="3" fontId="19" fillId="0" borderId="3" xfId="0" applyNumberFormat="1" applyFont="1" applyBorder="1"/>
    <xf numFmtId="172" fontId="23" fillId="8" borderId="3" xfId="0" applyNumberFormat="1" applyFont="1" applyFill="1" applyBorder="1"/>
    <xf numFmtId="0" fontId="19" fillId="13" borderId="1" xfId="0" applyFont="1" applyFill="1" applyBorder="1" applyAlignment="1">
      <alignment wrapText="1"/>
    </xf>
    <xf numFmtId="172" fontId="19" fillId="13" borderId="3" xfId="0" applyNumberFormat="1" applyFont="1" applyFill="1" applyBorder="1"/>
    <xf numFmtId="172" fontId="19" fillId="13" borderId="1" xfId="0" applyNumberFormat="1" applyFont="1" applyFill="1" applyBorder="1"/>
    <xf numFmtId="172" fontId="23" fillId="6" borderId="3" xfId="0" applyNumberFormat="1" applyFont="1" applyFill="1" applyBorder="1"/>
    <xf numFmtId="0" fontId="7" fillId="0" borderId="1" xfId="0" applyFont="1" applyBorder="1" applyAlignment="1">
      <alignment horizontal="center"/>
    </xf>
    <xf numFmtId="0" fontId="27" fillId="7" borderId="0" xfId="0" applyFont="1" applyFill="1"/>
    <xf numFmtId="0" fontId="24" fillId="0" borderId="0" xfId="0" applyFont="1"/>
    <xf numFmtId="0" fontId="26" fillId="3" borderId="0" xfId="0" applyFont="1" applyFill="1"/>
    <xf numFmtId="0" fontId="24" fillId="0" borderId="0" xfId="0" applyFont="1" applyAlignment="1">
      <alignment wrapText="1"/>
    </xf>
    <xf numFmtId="0" fontId="6" fillId="3" borderId="0" xfId="0" applyFont="1" applyFill="1"/>
    <xf numFmtId="0" fontId="6" fillId="3" borderId="0" xfId="0" applyFont="1" applyFill="1" applyAlignment="1">
      <alignment wrapText="1"/>
    </xf>
    <xf numFmtId="0" fontId="6" fillId="3" borderId="0" xfId="0" applyFont="1" applyFill="1" applyAlignment="1">
      <alignment vertical="center"/>
    </xf>
    <xf numFmtId="0" fontId="5" fillId="0" borderId="0" xfId="0" applyFont="1" applyAlignment="1">
      <alignment vertical="center" wrapText="1"/>
    </xf>
    <xf numFmtId="0" fontId="27" fillId="0" borderId="0" xfId="0" applyFont="1" applyAlignment="1">
      <alignment vertical="center" wrapText="1"/>
    </xf>
  </cellXfs>
  <cellStyles count="3">
    <cellStyle name="Hipervínculo" xfId="1" builtinId="8"/>
    <cellStyle name="Normal" xfId="0" builtinId="0"/>
    <cellStyle name="Porcentaje 2" xfId="2"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BBB59"/>
      <rgbColor rgb="FF800080"/>
      <rgbColor rgb="FF008080"/>
      <rgbColor rgb="FFBFBFBF"/>
      <rgbColor rgb="FF808080"/>
      <rgbColor rgb="FF9999FF"/>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EECE1"/>
      <rgbColor rgb="FFFDEADA"/>
      <rgbColor rgb="FFB3B3B3"/>
      <rgbColor rgb="FFFCE4D6"/>
      <rgbColor rgb="FFCC99FF"/>
      <rgbColor rgb="FFE6B9B8"/>
      <rgbColor rgb="FF4F81BD"/>
      <rgbColor rgb="FF33CCCC"/>
      <rgbColor rgb="FF92D050"/>
      <rgbColor rgb="FFFFCC00"/>
      <rgbColor rgb="FFFF9900"/>
      <rgbColor rgb="FFFF6600"/>
      <rgbColor rgb="FF8064A2"/>
      <rgbColor rgb="FFA6A6A6"/>
      <rgbColor rgb="FF003366"/>
      <rgbColor rgb="FF339966"/>
      <rgbColor rgb="FF003300"/>
      <rgbColor rgb="FF333300"/>
      <rgbColor rgb="FF993300"/>
      <rgbColor rgb="FF993366"/>
      <rgbColor rgb="FF1F4E78"/>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Tornado — Rango de VAN por variable (±20%)</a:t>
            </a:r>
          </a:p>
        </c:rich>
      </c:tx>
      <c:overlay val="0"/>
      <c:spPr>
        <a:noFill/>
        <a:ln w="0">
          <a:noFill/>
        </a:ln>
      </c:spPr>
    </c:title>
    <c:autoTitleDeleted val="0"/>
    <c:plotArea>
      <c:layout/>
      <c:barChart>
        <c:barDir val="bar"/>
        <c:grouping val="stacked"/>
        <c:varyColors val="0"/>
        <c:ser>
          <c:idx val="0"/>
          <c:order val="0"/>
          <c:tx>
            <c:strRef>
              <c:f>Sensitivities!$L$25</c:f>
              <c:strCache>
                <c:ptCount val="1"/>
                <c:pt idx="0">
                  <c:v>Base (mín)</c:v>
                </c:pt>
              </c:strCache>
            </c:strRef>
          </c:tx>
          <c:spPr>
            <a:no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Sensitivities!$B$12:$B$16</c:f>
              <c:strCache>
                <c:ptCount val="5"/>
                <c:pt idx="0">
                  <c:v>Precio del cobre</c:v>
                </c:pt>
                <c:pt idx="1">
                  <c:v>Ley de cobre</c:v>
                </c:pt>
                <c:pt idx="2">
                  <c:v>Recuperación metalúrgica</c:v>
                </c:pt>
                <c:pt idx="3">
                  <c:v>CAPEX Inicial Total</c:v>
                </c:pt>
                <c:pt idx="4">
                  <c:v>OPEX Total Anual</c:v>
                </c:pt>
              </c:strCache>
            </c:strRef>
          </c:cat>
          <c:val>
            <c:numRef>
              <c:f>Sensitivities!$L$26:$L$30</c:f>
              <c:numCache>
                <c:formatCode>\$#,##0</c:formatCode>
                <c:ptCount val="5"/>
                <c:pt idx="0">
                  <c:v>312812023.84775066</c:v>
                </c:pt>
                <c:pt idx="1">
                  <c:v>351415050.12588811</c:v>
                </c:pt>
                <c:pt idx="2">
                  <c:v>351415050.12588811</c:v>
                </c:pt>
                <c:pt idx="3">
                  <c:v>636527698.86075926</c:v>
                </c:pt>
                <c:pt idx="4">
                  <c:v>606947211.370718</c:v>
                </c:pt>
              </c:numCache>
            </c:numRef>
          </c:val>
          <c:extLst>
            <c:ext xmlns:c16="http://schemas.microsoft.com/office/drawing/2014/chart" uri="{C3380CC4-5D6E-409C-BE32-E72D297353CC}">
              <c16:uniqueId val="{00000000-0BC7-4485-8505-BE323BF4174A}"/>
            </c:ext>
          </c:extLst>
        </c:ser>
        <c:ser>
          <c:idx val="1"/>
          <c:order val="1"/>
          <c:tx>
            <c:strRef>
              <c:f>Sensitivities!$M$25</c:f>
              <c:strCache>
                <c:ptCount val="1"/>
                <c:pt idx="0">
                  <c:v>Rango</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ct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Sensitivities!$B$12:$B$16</c:f>
              <c:strCache>
                <c:ptCount val="5"/>
                <c:pt idx="0">
                  <c:v>Precio del cobre</c:v>
                </c:pt>
                <c:pt idx="1">
                  <c:v>Ley de cobre</c:v>
                </c:pt>
                <c:pt idx="2">
                  <c:v>Recuperación metalúrgica</c:v>
                </c:pt>
                <c:pt idx="3">
                  <c:v>CAPEX Inicial Total</c:v>
                </c:pt>
                <c:pt idx="4">
                  <c:v>OPEX Total Anual</c:v>
                </c:pt>
              </c:strCache>
            </c:strRef>
          </c:cat>
          <c:val>
            <c:numRef>
              <c:f>Sensitivities!$M$26:$M$30</c:f>
              <c:numCache>
                <c:formatCode>\$#,##0</c:formatCode>
                <c:ptCount val="5"/>
                <c:pt idx="0">
                  <c:v>855243765.7173574</c:v>
                </c:pt>
                <c:pt idx="1">
                  <c:v>813429433.73981953</c:v>
                </c:pt>
                <c:pt idx="2">
                  <c:v>813429433.73981977</c:v>
                </c:pt>
                <c:pt idx="3">
                  <c:v>243204136.27007771</c:v>
                </c:pt>
                <c:pt idx="4">
                  <c:v>266973390.67142296</c:v>
                </c:pt>
              </c:numCache>
            </c:numRef>
          </c:val>
          <c:extLst>
            <c:ext xmlns:c16="http://schemas.microsoft.com/office/drawing/2014/chart" uri="{C3380CC4-5D6E-409C-BE32-E72D297353CC}">
              <c16:uniqueId val="{00000001-0BC7-4485-8505-BE323BF4174A}"/>
            </c:ext>
          </c:extLst>
        </c:ser>
        <c:dLbls>
          <c:showLegendKey val="0"/>
          <c:showVal val="0"/>
          <c:showCatName val="0"/>
          <c:showSerName val="0"/>
          <c:showPercent val="0"/>
          <c:showBubbleSize val="0"/>
        </c:dLbls>
        <c:gapWidth val="150"/>
        <c:overlap val="100"/>
        <c:axId val="79229138"/>
        <c:axId val="16137436"/>
      </c:barChart>
      <c:catAx>
        <c:axId val="79229138"/>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VAN (USD)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6137436"/>
        <c:crosses val="autoZero"/>
        <c:auto val="1"/>
        <c:lblAlgn val="ctr"/>
        <c:lblOffset val="100"/>
        <c:noMultiLvlLbl val="0"/>
      </c:catAx>
      <c:valAx>
        <c:axId val="16137436"/>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22913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VAN por escenario</a:t>
            </a:r>
          </a:p>
        </c:rich>
      </c:tx>
      <c:overlay val="0"/>
      <c:spPr>
        <a:noFill/>
        <a:ln w="0">
          <a:noFill/>
        </a:ln>
      </c:spPr>
    </c:title>
    <c:autoTitleDeleted val="0"/>
    <c:plotArea>
      <c:layout/>
      <c:barChart>
        <c:barDir val="col"/>
        <c:grouping val="clustered"/>
        <c:varyColors val="0"/>
        <c:ser>
          <c:idx val="0"/>
          <c:order val="0"/>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Scenarios!$C$25</c:f>
              <c:numCache>
                <c:formatCode>"$ "#,##0;[Red]"-$ "#,##0</c:formatCode>
                <c:ptCount val="1"/>
                <c:pt idx="0">
                  <c:v>740433906.70642924</c:v>
                </c:pt>
              </c:numCache>
            </c:numRef>
          </c:val>
          <c:extLst>
            <c:ext xmlns:c16="http://schemas.microsoft.com/office/drawing/2014/chart" uri="{C3380CC4-5D6E-409C-BE32-E72D297353CC}">
              <c16:uniqueId val="{00000000-447D-4276-9584-FA0BEDF93655}"/>
            </c:ext>
          </c:extLst>
        </c:ser>
        <c:ser>
          <c:idx val="1"/>
          <c:order val="1"/>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Scenarios!$D$25</c:f>
              <c:numCache>
                <c:formatCode>"$ "#,##0;[Red]"-$ "#,##0</c:formatCode>
                <c:ptCount val="1"/>
                <c:pt idx="0">
                  <c:v>1572326542.8453856</c:v>
                </c:pt>
              </c:numCache>
            </c:numRef>
          </c:val>
          <c:extLst>
            <c:ext xmlns:c16="http://schemas.microsoft.com/office/drawing/2014/chart" uri="{C3380CC4-5D6E-409C-BE32-E72D297353CC}">
              <c16:uniqueId val="{00000001-447D-4276-9584-FA0BEDF93655}"/>
            </c:ext>
          </c:extLst>
        </c:ser>
        <c:ser>
          <c:idx val="2"/>
          <c:order val="2"/>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Scenarios!$E$25</c:f>
              <c:numCache>
                <c:formatCode>"$ "#,##0;[Red]"-$ "#,##0</c:formatCode>
                <c:ptCount val="1"/>
                <c:pt idx="0">
                  <c:v>-233307079.04582751</c:v>
                </c:pt>
              </c:numCache>
            </c:numRef>
          </c:val>
          <c:extLst>
            <c:ext xmlns:c16="http://schemas.microsoft.com/office/drawing/2014/chart" uri="{C3380CC4-5D6E-409C-BE32-E72D297353CC}">
              <c16:uniqueId val="{00000002-447D-4276-9584-FA0BEDF93655}"/>
            </c:ext>
          </c:extLst>
        </c:ser>
        <c:ser>
          <c:idx val="3"/>
          <c:order val="3"/>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Scenarios!$C$5:$F$5</c:f>
              <c:strCache>
                <c:ptCount val="4"/>
                <c:pt idx="0">
                  <c:v>Base</c:v>
                </c:pt>
                <c:pt idx="1">
                  <c:v>Optimista</c:v>
                </c:pt>
                <c:pt idx="2">
                  <c:v>Pesimista</c:v>
                </c:pt>
                <c:pt idx="3">
                  <c:v>Personalizado</c:v>
                </c:pt>
              </c:strCache>
            </c:strRef>
          </c:cat>
          <c:val>
            <c:numRef>
              <c:f>Scenarios!$F$25</c:f>
              <c:numCache>
                <c:formatCode>"$ "#,##0;[Red]"-$ "#,##0</c:formatCode>
                <c:ptCount val="1"/>
                <c:pt idx="0">
                  <c:v>626695754.78034043</c:v>
                </c:pt>
              </c:numCache>
            </c:numRef>
          </c:val>
          <c:extLst>
            <c:ext xmlns:c16="http://schemas.microsoft.com/office/drawing/2014/chart" uri="{C3380CC4-5D6E-409C-BE32-E72D297353CC}">
              <c16:uniqueId val="{00000003-447D-4276-9584-FA0BEDF93655}"/>
            </c:ext>
          </c:extLst>
        </c:ser>
        <c:dLbls>
          <c:showLegendKey val="0"/>
          <c:showVal val="0"/>
          <c:showCatName val="0"/>
          <c:showSerName val="0"/>
          <c:showPercent val="0"/>
          <c:showBubbleSize val="0"/>
        </c:dLbls>
        <c:gapWidth val="150"/>
        <c:axId val="12032686"/>
        <c:axId val="13878210"/>
      </c:barChart>
      <c:catAx>
        <c:axId val="1203268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3878210"/>
        <c:crosses val="autoZero"/>
        <c:auto val="1"/>
        <c:lblAlgn val="ctr"/>
        <c:lblOffset val="100"/>
        <c:noMultiLvlLbl val="0"/>
      </c:catAx>
      <c:valAx>
        <c:axId val="13878210"/>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VAN (USD)</a:t>
                </a:r>
              </a:p>
            </c:rich>
          </c:tx>
          <c:overlay val="0"/>
          <c:spPr>
            <a:noFill/>
            <a:ln w="0">
              <a:noFill/>
            </a:ln>
          </c:spPr>
        </c:title>
        <c:numFmt formatCode="&quot;$ &quot;#,##0;[Red]&quot;-$ &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2032686"/>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190440</xdr:colOff>
      <xdr:row>2</xdr:row>
      <xdr:rowOff>148320</xdr:rowOff>
    </xdr:from>
    <xdr:to>
      <xdr:col>16</xdr:col>
      <xdr:colOff>186120</xdr:colOff>
      <xdr:row>28</xdr:row>
      <xdr:rowOff>169920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6946200" y="577080"/>
          <a:ext cx="7364160" cy="4479120"/>
        </a:xfrm>
        <a:prstGeom prst="rect">
          <a:avLst/>
        </a:prstGeom>
        <a:ln w="0">
          <a:solidFill>
            <a:srgbClr val="000000"/>
          </a:solidFill>
        </a:ln>
      </xdr:spPr>
    </xdr:pic>
    <xdr:clientData/>
  </xdr:twoCellAnchor>
  <xdr:twoCellAnchor editAs="oneCell">
    <xdr:from>
      <xdr:col>4</xdr:col>
      <xdr:colOff>317520</xdr:colOff>
      <xdr:row>29</xdr:row>
      <xdr:rowOff>84600</xdr:rowOff>
    </xdr:from>
    <xdr:to>
      <xdr:col>13</xdr:col>
      <xdr:colOff>37800</xdr:colOff>
      <xdr:row>39</xdr:row>
      <xdr:rowOff>54360</xdr:rowOff>
    </xdr:to>
    <xdr:pic>
      <xdr:nvPicPr>
        <xdr:cNvPr id="3" name="Imagen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7073280" y="5142240"/>
          <a:ext cx="5246640" cy="1684440"/>
        </a:xfrm>
        <a:prstGeom prst="rect">
          <a:avLst/>
        </a:prstGeom>
        <a:ln w="0">
          <a:solidFill>
            <a:srgbClr val="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624600</xdr:colOff>
      <xdr:row>31</xdr:row>
      <xdr:rowOff>168840</xdr:rowOff>
    </xdr:from>
    <xdr:to>
      <xdr:col>2</xdr:col>
      <xdr:colOff>2139480</xdr:colOff>
      <xdr:row>48</xdr:row>
      <xdr:rowOff>44640</xdr:rowOff>
    </xdr:to>
    <xdr:pic>
      <xdr:nvPicPr>
        <xdr:cNvPr id="2" name="Imagen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xdr:blipFill>
      <xdr:spPr>
        <a:xfrm>
          <a:off x="624600" y="11865600"/>
          <a:ext cx="7153560" cy="3114360"/>
        </a:xfrm>
        <a:prstGeom prst="rect">
          <a:avLst/>
        </a:prstGeom>
        <a:ln w="0">
          <a:noFill/>
        </a:ln>
      </xdr:spPr>
    </xdr:pic>
    <xdr:clientData/>
  </xdr:twoCellAnchor>
  <xdr:twoCellAnchor editAs="oneCell">
    <xdr:from>
      <xdr:col>2</xdr:col>
      <xdr:colOff>2603520</xdr:colOff>
      <xdr:row>30</xdr:row>
      <xdr:rowOff>0</xdr:rowOff>
    </xdr:from>
    <xdr:to>
      <xdr:col>5</xdr:col>
      <xdr:colOff>1432440</xdr:colOff>
      <xdr:row>59</xdr:row>
      <xdr:rowOff>143280</xdr:rowOff>
    </xdr:to>
    <xdr:pic>
      <xdr:nvPicPr>
        <xdr:cNvPr id="3" name="Imagen 2">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a:stretch/>
      </xdr:blipFill>
      <xdr:spPr>
        <a:xfrm>
          <a:off x="8242200" y="11506320"/>
          <a:ext cx="7287120" cy="5667840"/>
        </a:xfrm>
        <a:prstGeom prst="rect">
          <a:avLst/>
        </a:prstGeom>
        <a:ln w="0">
          <a:solidFill>
            <a:srgbClr val="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105840</xdr:colOff>
      <xdr:row>16</xdr:row>
      <xdr:rowOff>37800</xdr:rowOff>
    </xdr:from>
    <xdr:to>
      <xdr:col>7</xdr:col>
      <xdr:colOff>546840</xdr:colOff>
      <xdr:row>35</xdr:row>
      <xdr:rowOff>58680</xdr:rowOff>
    </xdr:to>
    <xdr:graphicFrame macro="">
      <xdr:nvGraphicFramePr>
        <xdr:cNvPr id="4" name="Chart 1">
          <a:extLst>
            <a:ext uri="{FF2B5EF4-FFF2-40B4-BE49-F238E27FC236}">
              <a16:creationId xmlns:a16="http://schemas.microsoft.com/office/drawing/2014/main" id="{00000000-0008-0000-0B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518584</xdr:colOff>
      <xdr:row>19</xdr:row>
      <xdr:rowOff>105833</xdr:rowOff>
    </xdr:from>
    <xdr:to>
      <xdr:col>9</xdr:col>
      <xdr:colOff>559983</xdr:colOff>
      <xdr:row>27</xdr:row>
      <xdr:rowOff>347382</xdr:rowOff>
    </xdr:to>
    <xdr:graphicFrame macro="">
      <xdr:nvGraphicFramePr>
        <xdr:cNvPr id="5" name="Chart 1">
          <a:extLst>
            <a:ext uri="{FF2B5EF4-FFF2-40B4-BE49-F238E27FC236}">
              <a16:creationId xmlns:a16="http://schemas.microsoft.com/office/drawing/2014/main" id="{00000000-0008-0000-0C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youtube.com/watch?v=lTvYc3-kPAw"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3"/>
  <sheetViews>
    <sheetView zoomScale="90" zoomScaleNormal="90" workbookViewId="0">
      <selection activeCell="D24" sqref="D24"/>
    </sheetView>
  </sheetViews>
  <sheetFormatPr baseColWidth="10" defaultColWidth="8.7109375" defaultRowHeight="13.5" x14ac:dyDescent="0.25"/>
  <cols>
    <col min="1" max="1" width="33.42578125" style="6" customWidth="1"/>
    <col min="2" max="2" width="45" style="6" customWidth="1"/>
    <col min="3" max="16384" width="8.7109375" style="6"/>
  </cols>
  <sheetData>
    <row r="1" spans="1:2" ht="20.25" customHeight="1" x14ac:dyDescent="0.35">
      <c r="A1" s="7" t="s">
        <v>0</v>
      </c>
    </row>
    <row r="2" spans="1:2" ht="13.5" customHeight="1" x14ac:dyDescent="0.25">
      <c r="A2" s="8" t="s">
        <v>1</v>
      </c>
    </row>
    <row r="4" spans="1:2" ht="13.5" customHeight="1" x14ac:dyDescent="0.25">
      <c r="A4" s="9" t="s">
        <v>2</v>
      </c>
    </row>
    <row r="6" spans="1:2" ht="13.5" customHeight="1" x14ac:dyDescent="0.25">
      <c r="A6" s="10" t="s">
        <v>3</v>
      </c>
      <c r="B6" s="11" t="s">
        <v>4</v>
      </c>
    </row>
    <row r="7" spans="1:2" ht="13.5" customHeight="1" x14ac:dyDescent="0.25">
      <c r="A7" s="10" t="s">
        <v>5</v>
      </c>
      <c r="B7" s="11" t="s">
        <v>6</v>
      </c>
    </row>
    <row r="8" spans="1:2" ht="13.5" customHeight="1" x14ac:dyDescent="0.25">
      <c r="A8" s="10" t="s">
        <v>7</v>
      </c>
      <c r="B8" s="11" t="s">
        <v>8</v>
      </c>
    </row>
    <row r="9" spans="1:2" ht="13.5" customHeight="1" x14ac:dyDescent="0.25">
      <c r="A9" s="10" t="s">
        <v>9</v>
      </c>
      <c r="B9" s="11" t="s">
        <v>10</v>
      </c>
    </row>
    <row r="10" spans="1:2" ht="13.5" customHeight="1" x14ac:dyDescent="0.25">
      <c r="A10" s="10" t="s">
        <v>11</v>
      </c>
      <c r="B10" s="11" t="s">
        <v>12</v>
      </c>
    </row>
    <row r="11" spans="1:2" ht="13.5" customHeight="1" x14ac:dyDescent="0.25">
      <c r="A11" s="10" t="s">
        <v>13</v>
      </c>
      <c r="B11" s="11" t="s">
        <v>14</v>
      </c>
    </row>
    <row r="12" spans="1:2" ht="13.5" customHeight="1" x14ac:dyDescent="0.25">
      <c r="A12" s="10" t="s">
        <v>15</v>
      </c>
      <c r="B12" s="11" t="s">
        <v>16</v>
      </c>
    </row>
    <row r="13" spans="1:2" ht="13.5" customHeight="1" x14ac:dyDescent="0.25">
      <c r="A13" s="10" t="s">
        <v>17</v>
      </c>
      <c r="B13" s="11" t="s">
        <v>18</v>
      </c>
    </row>
    <row r="14" spans="1:2" ht="13.5" customHeight="1" x14ac:dyDescent="0.25">
      <c r="A14" s="10" t="s">
        <v>19</v>
      </c>
      <c r="B14" s="11" t="s">
        <v>20</v>
      </c>
    </row>
    <row r="17" spans="1:1" ht="13.5" customHeight="1" x14ac:dyDescent="0.25">
      <c r="A17" s="10" t="s">
        <v>21</v>
      </c>
    </row>
    <row r="18" spans="1:1" ht="13.5" customHeight="1" x14ac:dyDescent="0.25">
      <c r="A18" s="11" t="s">
        <v>22</v>
      </c>
    </row>
    <row r="19" spans="1:1" ht="13.5" customHeight="1" x14ac:dyDescent="0.25">
      <c r="A19" s="11" t="s">
        <v>23</v>
      </c>
    </row>
    <row r="20" spans="1:1" ht="13.5" customHeight="1" x14ac:dyDescent="0.25">
      <c r="A20" s="11" t="s">
        <v>24</v>
      </c>
    </row>
    <row r="21" spans="1:1" ht="13.5" customHeight="1" x14ac:dyDescent="0.25">
      <c r="A21" s="11" t="s">
        <v>25</v>
      </c>
    </row>
    <row r="22" spans="1:1" ht="13.5" customHeight="1" x14ac:dyDescent="0.25">
      <c r="A22" s="11" t="s">
        <v>26</v>
      </c>
    </row>
    <row r="23" spans="1:1" ht="13.5" customHeight="1" x14ac:dyDescent="0.25">
      <c r="A23" s="11" t="s">
        <v>27</v>
      </c>
    </row>
    <row r="24" spans="1:1" ht="13.5" customHeight="1" x14ac:dyDescent="0.25">
      <c r="A24" s="11" t="s">
        <v>28</v>
      </c>
    </row>
    <row r="25" spans="1:1" ht="13.5" customHeight="1" x14ac:dyDescent="0.25">
      <c r="A25" s="11" t="s">
        <v>29</v>
      </c>
    </row>
    <row r="26" spans="1:1" ht="13.5" customHeight="1" x14ac:dyDescent="0.25">
      <c r="A26" s="11" t="s">
        <v>30</v>
      </c>
    </row>
    <row r="27" spans="1:1" ht="13.5" customHeight="1" x14ac:dyDescent="0.25">
      <c r="A27" s="11" t="s">
        <v>31</v>
      </c>
    </row>
    <row r="28" spans="1:1" ht="13.5" customHeight="1" x14ac:dyDescent="0.25">
      <c r="A28" s="11" t="s">
        <v>32</v>
      </c>
    </row>
    <row r="29" spans="1:1" ht="13.5" customHeight="1" x14ac:dyDescent="0.25">
      <c r="A29" s="11" t="s">
        <v>33</v>
      </c>
    </row>
    <row r="30" spans="1:1" ht="13.5" customHeight="1" x14ac:dyDescent="0.25">
      <c r="A30" s="12" t="s">
        <v>34</v>
      </c>
    </row>
    <row r="33" spans="1:2" ht="13.5" customHeight="1" x14ac:dyDescent="0.25">
      <c r="A33" s="6" t="s">
        <v>35</v>
      </c>
      <c r="B33" s="13" t="s">
        <v>36</v>
      </c>
    </row>
  </sheetData>
  <hyperlinks>
    <hyperlink ref="B33" r:id="rId1" xr:uid="{00000000-0004-0000-0000-000000000000}"/>
  </hyperlinks>
  <pageMargins left="0.75" right="0.75" top="1" bottom="1" header="0.511811023622047" footer="0.511811023622047"/>
  <pageSetup paperSize="9" orientation="portrait" horizontalDpi="300" verticalDpi="30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5"/>
  <sheetViews>
    <sheetView showGridLines="0" zoomScale="90" zoomScaleNormal="90" workbookViewId="0">
      <pane ySplit="4" topLeftCell="A5" activePane="bottomLeft" state="frozen"/>
      <selection pane="bottomLeft" activeCell="B83" sqref="B83"/>
    </sheetView>
  </sheetViews>
  <sheetFormatPr baseColWidth="10" defaultColWidth="8.7109375" defaultRowHeight="13.5" outlineLevelRow="2" x14ac:dyDescent="0.25"/>
  <cols>
    <col min="1" max="1" width="54.7109375" style="14" customWidth="1"/>
    <col min="2" max="2" width="14" style="6" customWidth="1"/>
    <col min="3" max="3" width="17.140625" style="6" customWidth="1"/>
    <col min="4" max="4" width="22.140625" style="6" customWidth="1"/>
    <col min="5" max="5" width="55" style="6" customWidth="1"/>
    <col min="6" max="6" width="10.140625" style="6" customWidth="1"/>
    <col min="7" max="16384" width="8.7109375" style="6"/>
  </cols>
  <sheetData>
    <row r="1" spans="1:6" ht="21" customHeight="1" x14ac:dyDescent="0.25">
      <c r="A1" s="15" t="s">
        <v>37</v>
      </c>
    </row>
    <row r="2" spans="1:6" x14ac:dyDescent="0.25">
      <c r="A2" s="16" t="s">
        <v>38</v>
      </c>
    </row>
    <row r="4" spans="1:6" ht="13.5" customHeight="1" x14ac:dyDescent="0.25">
      <c r="A4" s="17" t="s">
        <v>39</v>
      </c>
      <c r="B4" s="18" t="s">
        <v>40</v>
      </c>
      <c r="C4" s="18" t="s">
        <v>41</v>
      </c>
      <c r="D4" s="18" t="s">
        <v>42</v>
      </c>
      <c r="E4" s="18" t="s">
        <v>43</v>
      </c>
    </row>
    <row r="5" spans="1:6" ht="13.5" customHeight="1" x14ac:dyDescent="0.25">
      <c r="A5" s="259" t="s">
        <v>44</v>
      </c>
      <c r="B5" s="259"/>
      <c r="C5" s="259"/>
      <c r="D5" s="259"/>
      <c r="E5" s="259"/>
    </row>
    <row r="6" spans="1:6" ht="30" hidden="1" customHeight="1" outlineLevel="1" x14ac:dyDescent="0.25">
      <c r="A6" s="19" t="s">
        <v>45</v>
      </c>
      <c r="B6" s="20">
        <v>10000000</v>
      </c>
      <c r="C6" s="21" t="s">
        <v>46</v>
      </c>
      <c r="D6" s="21" t="s">
        <v>47</v>
      </c>
      <c r="E6" s="22" t="s">
        <v>48</v>
      </c>
    </row>
    <row r="7" spans="1:6" ht="30" hidden="1" customHeight="1" outlineLevel="1" x14ac:dyDescent="0.25">
      <c r="A7" s="19" t="s">
        <v>49</v>
      </c>
      <c r="B7" s="23">
        <v>5.4999999999999997E-3</v>
      </c>
      <c r="C7" s="21" t="s">
        <v>50</v>
      </c>
      <c r="D7" s="21" t="s">
        <v>51</v>
      </c>
      <c r="E7" s="22" t="s">
        <v>52</v>
      </c>
      <c r="F7" s="24"/>
    </row>
    <row r="8" spans="1:6" ht="30" hidden="1" customHeight="1" outlineLevel="1" x14ac:dyDescent="0.25">
      <c r="A8" s="19" t="s">
        <v>53</v>
      </c>
      <c r="B8" s="23">
        <v>0.88</v>
      </c>
      <c r="C8" s="21" t="s">
        <v>54</v>
      </c>
      <c r="D8" s="21" t="s">
        <v>47</v>
      </c>
      <c r="E8" s="22" t="s">
        <v>55</v>
      </c>
    </row>
    <row r="9" spans="1:6" ht="30" hidden="1" customHeight="1" outlineLevel="1" x14ac:dyDescent="0.25">
      <c r="A9" s="19" t="s">
        <v>56</v>
      </c>
      <c r="B9" s="23">
        <v>0.96499999999999997</v>
      </c>
      <c r="C9" s="21" t="s">
        <v>54</v>
      </c>
      <c r="D9" s="21" t="s">
        <v>47</v>
      </c>
      <c r="E9" s="22" t="s">
        <v>57</v>
      </c>
    </row>
    <row r="11" spans="1:6" ht="13.5" customHeight="1" x14ac:dyDescent="0.25">
      <c r="A11" s="259" t="s">
        <v>58</v>
      </c>
      <c r="B11" s="259"/>
      <c r="C11" s="259"/>
      <c r="D11" s="259"/>
      <c r="E11" s="259"/>
    </row>
    <row r="12" spans="1:6" ht="30" customHeight="1" outlineLevel="1" x14ac:dyDescent="0.25">
      <c r="A12" s="19" t="s">
        <v>59</v>
      </c>
      <c r="B12" s="25">
        <v>4.2</v>
      </c>
      <c r="C12" s="21" t="s">
        <v>60</v>
      </c>
      <c r="D12" s="21" t="s">
        <v>47</v>
      </c>
      <c r="E12" s="26" t="s">
        <v>61</v>
      </c>
    </row>
    <row r="13" spans="1:6" ht="30" customHeight="1" outlineLevel="1" x14ac:dyDescent="0.25">
      <c r="A13" s="19" t="s">
        <v>62</v>
      </c>
      <c r="B13" s="27">
        <v>2204.62</v>
      </c>
      <c r="C13" s="21" t="s">
        <v>63</v>
      </c>
      <c r="D13" s="21" t="s">
        <v>64</v>
      </c>
      <c r="E13" s="26" t="s">
        <v>65</v>
      </c>
    </row>
    <row r="14" spans="1:6" ht="30" customHeight="1" outlineLevel="1" x14ac:dyDescent="0.25">
      <c r="A14" s="19" t="s">
        <v>66</v>
      </c>
      <c r="B14" s="28">
        <v>0.3</v>
      </c>
      <c r="C14" s="21" t="s">
        <v>50</v>
      </c>
      <c r="D14" s="21" t="s">
        <v>47</v>
      </c>
      <c r="E14" s="26" t="s">
        <v>67</v>
      </c>
    </row>
    <row r="15" spans="1:6" ht="20.25" customHeight="1" outlineLevel="1" x14ac:dyDescent="0.25">
      <c r="A15" s="19" t="s">
        <v>68</v>
      </c>
      <c r="B15" s="25">
        <v>80</v>
      </c>
      <c r="C15" s="21" t="s">
        <v>69</v>
      </c>
      <c r="D15" s="21" t="s">
        <v>47</v>
      </c>
      <c r="E15" s="26" t="s">
        <v>70</v>
      </c>
    </row>
    <row r="16" spans="1:6" ht="30" customHeight="1" outlineLevel="1" x14ac:dyDescent="0.25">
      <c r="A16" s="19" t="s">
        <v>71</v>
      </c>
      <c r="B16" s="29">
        <v>0.08</v>
      </c>
      <c r="C16" s="21" t="s">
        <v>60</v>
      </c>
      <c r="D16" s="21" t="s">
        <v>47</v>
      </c>
      <c r="E16" s="26" t="s">
        <v>72</v>
      </c>
    </row>
    <row r="18" spans="1:5" ht="13.5" customHeight="1" x14ac:dyDescent="0.25">
      <c r="A18" s="259" t="s">
        <v>73</v>
      </c>
      <c r="B18" s="259"/>
      <c r="C18" s="259"/>
      <c r="D18" s="259"/>
      <c r="E18" s="259"/>
    </row>
    <row r="19" spans="1:5" ht="30" hidden="1" customHeight="1" outlineLevel="1" x14ac:dyDescent="0.25">
      <c r="A19" s="19" t="s">
        <v>74</v>
      </c>
      <c r="B19" s="25">
        <v>0.55000000000000004</v>
      </c>
      <c r="C19" s="21" t="s">
        <v>75</v>
      </c>
      <c r="D19" s="21" t="s">
        <v>47</v>
      </c>
      <c r="E19" s="26" t="s">
        <v>76</v>
      </c>
    </row>
    <row r="20" spans="1:5" ht="30" hidden="1" customHeight="1" outlineLevel="1" x14ac:dyDescent="0.25">
      <c r="A20" s="19" t="s">
        <v>77</v>
      </c>
      <c r="B20" s="25">
        <v>0.45</v>
      </c>
      <c r="C20" s="21" t="s">
        <v>75</v>
      </c>
      <c r="D20" s="21" t="s">
        <v>47</v>
      </c>
      <c r="E20" s="26" t="s">
        <v>78</v>
      </c>
    </row>
    <row r="21" spans="1:5" ht="30" hidden="1" customHeight="1" outlineLevel="1" x14ac:dyDescent="0.25">
      <c r="A21" s="19" t="s">
        <v>79</v>
      </c>
      <c r="B21" s="25">
        <v>1.7</v>
      </c>
      <c r="C21" s="21" t="s">
        <v>75</v>
      </c>
      <c r="D21" s="21" t="s">
        <v>47</v>
      </c>
      <c r="E21" s="26" t="s">
        <v>80</v>
      </c>
    </row>
    <row r="22" spans="1:5" ht="30" hidden="1" customHeight="1" outlineLevel="1" x14ac:dyDescent="0.25">
      <c r="A22" s="19" t="s">
        <v>81</v>
      </c>
      <c r="B22" s="25">
        <v>0.5</v>
      </c>
      <c r="C22" s="21" t="s">
        <v>75</v>
      </c>
      <c r="D22" s="21" t="s">
        <v>47</v>
      </c>
      <c r="E22" s="26" t="s">
        <v>82</v>
      </c>
    </row>
    <row r="23" spans="1:5" ht="30" hidden="1" customHeight="1" outlineLevel="1" x14ac:dyDescent="0.25">
      <c r="A23" s="19" t="s">
        <v>83</v>
      </c>
      <c r="B23" s="25">
        <v>2.6</v>
      </c>
      <c r="C23" s="21" t="s">
        <v>75</v>
      </c>
      <c r="D23" s="21" t="s">
        <v>47</v>
      </c>
      <c r="E23" s="26" t="s">
        <v>84</v>
      </c>
    </row>
    <row r="24" spans="1:5" ht="30" hidden="1" customHeight="1" outlineLevel="1" x14ac:dyDescent="0.25">
      <c r="A24" s="19" t="s">
        <v>85</v>
      </c>
      <c r="B24" s="25">
        <v>0.95</v>
      </c>
      <c r="C24" s="21" t="s">
        <v>75</v>
      </c>
      <c r="D24" s="21" t="s">
        <v>47</v>
      </c>
      <c r="E24" s="26" t="s">
        <v>86</v>
      </c>
    </row>
    <row r="25" spans="1:5" ht="30" hidden="1" customHeight="1" outlineLevel="1" x14ac:dyDescent="0.25">
      <c r="A25" s="19" t="s">
        <v>87</v>
      </c>
      <c r="B25" s="25">
        <v>0.7</v>
      </c>
      <c r="C25" s="21" t="s">
        <v>75</v>
      </c>
      <c r="D25" s="21" t="s">
        <v>47</v>
      </c>
      <c r="E25" s="26" t="s">
        <v>88</v>
      </c>
    </row>
    <row r="26" spans="1:5" ht="30" hidden="1" customHeight="1" outlineLevel="1" x14ac:dyDescent="0.25">
      <c r="A26" s="19" t="s">
        <v>89</v>
      </c>
      <c r="B26" s="25">
        <v>0.45</v>
      </c>
      <c r="C26" s="21" t="s">
        <v>75</v>
      </c>
      <c r="D26" s="21" t="s">
        <v>47</v>
      </c>
      <c r="E26" s="26" t="s">
        <v>90</v>
      </c>
    </row>
    <row r="27" spans="1:5" ht="36.75" hidden="1" customHeight="1" outlineLevel="1" x14ac:dyDescent="0.25">
      <c r="A27" s="19" t="s">
        <v>91</v>
      </c>
      <c r="B27" s="30">
        <v>11000000</v>
      </c>
      <c r="C27" s="21" t="s">
        <v>92</v>
      </c>
      <c r="D27" s="21" t="s">
        <v>47</v>
      </c>
      <c r="E27" s="26" t="s">
        <v>93</v>
      </c>
    </row>
    <row r="28" spans="1:5" ht="30" hidden="1" customHeight="1" outlineLevel="1" x14ac:dyDescent="0.25">
      <c r="A28" s="19" t="s">
        <v>94</v>
      </c>
      <c r="B28" s="30">
        <v>45000000</v>
      </c>
      <c r="C28" s="21" t="s">
        <v>92</v>
      </c>
      <c r="D28" s="21" t="s">
        <v>47</v>
      </c>
      <c r="E28" s="26" t="s">
        <v>95</v>
      </c>
    </row>
    <row r="30" spans="1:5" ht="13.5" customHeight="1" x14ac:dyDescent="0.25">
      <c r="A30" s="259" t="s">
        <v>96</v>
      </c>
      <c r="B30" s="259"/>
      <c r="C30" s="259"/>
      <c r="D30" s="259"/>
      <c r="E30" s="259"/>
    </row>
    <row r="31" spans="1:5" ht="24.75" hidden="1" customHeight="1" outlineLevel="1" x14ac:dyDescent="0.25">
      <c r="A31" s="19" t="s">
        <v>97</v>
      </c>
      <c r="B31" s="30">
        <f>SUM(B38:B40)</f>
        <v>74000000</v>
      </c>
      <c r="C31" s="21" t="s">
        <v>10</v>
      </c>
      <c r="D31" s="21" t="s">
        <v>47</v>
      </c>
      <c r="E31" s="26" t="s">
        <v>98</v>
      </c>
    </row>
    <row r="32" spans="1:5" ht="30" hidden="1" customHeight="1" outlineLevel="1" x14ac:dyDescent="0.25">
      <c r="A32" s="19" t="s">
        <v>99</v>
      </c>
      <c r="B32" s="30">
        <f>SUM(B41:B45)</f>
        <v>66000003</v>
      </c>
      <c r="C32" s="21" t="s">
        <v>10</v>
      </c>
      <c r="D32" s="21" t="s">
        <v>47</v>
      </c>
      <c r="E32" s="26" t="s">
        <v>100</v>
      </c>
    </row>
    <row r="33" spans="1:5" ht="30" hidden="1" customHeight="1" outlineLevel="1" x14ac:dyDescent="0.25">
      <c r="A33" s="19" t="s">
        <v>101</v>
      </c>
      <c r="B33" s="30">
        <f>SUM(B46:B49)</f>
        <v>145000000</v>
      </c>
      <c r="C33" s="21" t="s">
        <v>10</v>
      </c>
      <c r="D33" s="21" t="s">
        <v>47</v>
      </c>
      <c r="E33" s="26" t="s">
        <v>102</v>
      </c>
    </row>
    <row r="34" spans="1:5" ht="30" hidden="1" customHeight="1" outlineLevel="1" x14ac:dyDescent="0.25">
      <c r="A34" s="19" t="s">
        <v>103</v>
      </c>
      <c r="B34" s="30">
        <f>SUM(B50:B52)</f>
        <v>100000000</v>
      </c>
      <c r="C34" s="21" t="s">
        <v>10</v>
      </c>
      <c r="D34" s="21" t="s">
        <v>47</v>
      </c>
      <c r="E34" s="26" t="s">
        <v>104</v>
      </c>
    </row>
    <row r="35" spans="1:5" ht="30" hidden="1" customHeight="1" outlineLevel="1" x14ac:dyDescent="0.25">
      <c r="A35" s="19" t="s">
        <v>105</v>
      </c>
      <c r="B35" s="28">
        <v>0.12</v>
      </c>
      <c r="C35" s="21" t="s">
        <v>106</v>
      </c>
      <c r="D35" s="21" t="s">
        <v>47</v>
      </c>
      <c r="E35" s="26" t="s">
        <v>107</v>
      </c>
    </row>
    <row r="36" spans="1:5" ht="13.5" hidden="1" customHeight="1" outlineLevel="1" x14ac:dyDescent="0.25"/>
    <row r="37" spans="1:5" ht="13.5" hidden="1" customHeight="1" outlineLevel="1" x14ac:dyDescent="0.25">
      <c r="A37" s="259" t="s">
        <v>108</v>
      </c>
      <c r="B37" s="259"/>
      <c r="C37" s="259"/>
      <c r="D37" s="259"/>
      <c r="E37" s="259"/>
    </row>
    <row r="38" spans="1:5" ht="31.5" hidden="1" customHeight="1" outlineLevel="2" x14ac:dyDescent="0.25">
      <c r="A38" s="19" t="s">
        <v>109</v>
      </c>
      <c r="B38" s="30">
        <v>36000000</v>
      </c>
      <c r="C38" s="21" t="s">
        <v>10</v>
      </c>
      <c r="D38" s="21" t="s">
        <v>47</v>
      </c>
      <c r="E38" s="26" t="s">
        <v>110</v>
      </c>
    </row>
    <row r="39" spans="1:5" ht="31.5" hidden="1" customHeight="1" outlineLevel="2" x14ac:dyDescent="0.25">
      <c r="A39" s="19" t="s">
        <v>111</v>
      </c>
      <c r="B39" s="30">
        <v>24000000</v>
      </c>
      <c r="C39" s="21" t="s">
        <v>10</v>
      </c>
      <c r="D39" s="21" t="s">
        <v>47</v>
      </c>
      <c r="E39" s="26" t="s">
        <v>112</v>
      </c>
    </row>
    <row r="40" spans="1:5" ht="31.5" hidden="1" customHeight="1" outlineLevel="2" x14ac:dyDescent="0.25">
      <c r="A40" s="19" t="s">
        <v>113</v>
      </c>
      <c r="B40" s="30">
        <v>14000000</v>
      </c>
      <c r="C40" s="21" t="s">
        <v>10</v>
      </c>
      <c r="D40" s="21" t="s">
        <v>47</v>
      </c>
      <c r="E40" s="26" t="s">
        <v>114</v>
      </c>
    </row>
    <row r="41" spans="1:5" ht="31.5" hidden="1" customHeight="1" outlineLevel="2" x14ac:dyDescent="0.25">
      <c r="A41" s="19" t="s">
        <v>115</v>
      </c>
      <c r="B41" s="30">
        <v>21000000</v>
      </c>
      <c r="C41" s="21" t="s">
        <v>10</v>
      </c>
      <c r="D41" s="21" t="s">
        <v>47</v>
      </c>
      <c r="E41" s="26" t="s">
        <v>116</v>
      </c>
    </row>
    <row r="42" spans="1:5" ht="31.5" hidden="1" customHeight="1" outlineLevel="2" x14ac:dyDescent="0.25">
      <c r="A42" s="19" t="s">
        <v>117</v>
      </c>
      <c r="B42" s="20">
        <v>20000000</v>
      </c>
      <c r="C42" s="21" t="s">
        <v>118</v>
      </c>
      <c r="D42" s="21" t="s">
        <v>47</v>
      </c>
      <c r="E42" s="26" t="s">
        <v>119</v>
      </c>
    </row>
    <row r="43" spans="1:5" ht="31.5" hidden="1" customHeight="1" outlineLevel="2" x14ac:dyDescent="0.25">
      <c r="A43" s="19" t="s">
        <v>120</v>
      </c>
      <c r="B43" s="30">
        <v>3</v>
      </c>
      <c r="C43" s="21" t="s">
        <v>121</v>
      </c>
      <c r="D43" s="21" t="s">
        <v>47</v>
      </c>
      <c r="E43" s="26" t="s">
        <v>122</v>
      </c>
    </row>
    <row r="44" spans="1:5" ht="31.5" hidden="1" customHeight="1" outlineLevel="2" x14ac:dyDescent="0.25">
      <c r="A44" s="19" t="s">
        <v>123</v>
      </c>
      <c r="B44" s="30">
        <v>15000000</v>
      </c>
      <c r="C44" s="21" t="s">
        <v>10</v>
      </c>
      <c r="D44" s="21" t="s">
        <v>47</v>
      </c>
      <c r="E44" s="26" t="s">
        <v>124</v>
      </c>
    </row>
    <row r="45" spans="1:5" ht="31.5" hidden="1" customHeight="1" outlineLevel="2" x14ac:dyDescent="0.25">
      <c r="A45" s="19" t="s">
        <v>125</v>
      </c>
      <c r="B45" s="30">
        <v>10000000</v>
      </c>
      <c r="C45" s="21" t="s">
        <v>10</v>
      </c>
      <c r="D45" s="21" t="s">
        <v>47</v>
      </c>
      <c r="E45" s="26" t="s">
        <v>126</v>
      </c>
    </row>
    <row r="46" spans="1:5" ht="31.5" hidden="1" customHeight="1" outlineLevel="2" x14ac:dyDescent="0.25">
      <c r="A46" s="19" t="s">
        <v>127</v>
      </c>
      <c r="B46" s="30">
        <v>25000000</v>
      </c>
      <c r="C46" s="21" t="s">
        <v>10</v>
      </c>
      <c r="D46" s="21" t="s">
        <v>47</v>
      </c>
      <c r="E46" s="26" t="s">
        <v>128</v>
      </c>
    </row>
    <row r="47" spans="1:5" ht="31.5" hidden="1" customHeight="1" outlineLevel="2" x14ac:dyDescent="0.25">
      <c r="A47" s="19" t="s">
        <v>129</v>
      </c>
      <c r="B47" s="30">
        <v>15000000</v>
      </c>
      <c r="C47" s="21" t="s">
        <v>10</v>
      </c>
      <c r="D47" s="21" t="s">
        <v>47</v>
      </c>
      <c r="E47" s="26" t="s">
        <v>130</v>
      </c>
    </row>
    <row r="48" spans="1:5" ht="31.5" hidden="1" customHeight="1" outlineLevel="2" x14ac:dyDescent="0.25">
      <c r="A48" s="19" t="s">
        <v>131</v>
      </c>
      <c r="B48" s="30">
        <v>15000000</v>
      </c>
      <c r="C48" s="21" t="s">
        <v>10</v>
      </c>
      <c r="D48" s="21" t="s">
        <v>47</v>
      </c>
      <c r="E48" s="26" t="s">
        <v>132</v>
      </c>
    </row>
    <row r="49" spans="1:5" ht="31.5" hidden="1" customHeight="1" outlineLevel="2" x14ac:dyDescent="0.25">
      <c r="A49" s="19" t="s">
        <v>133</v>
      </c>
      <c r="B49" s="30">
        <v>90000000</v>
      </c>
      <c r="C49" s="21" t="s">
        <v>10</v>
      </c>
      <c r="D49" s="21" t="s">
        <v>47</v>
      </c>
      <c r="E49" s="26" t="s">
        <v>134</v>
      </c>
    </row>
    <row r="50" spans="1:5" ht="31.5" hidden="1" customHeight="1" outlineLevel="2" x14ac:dyDescent="0.25">
      <c r="A50" s="19" t="s">
        <v>135</v>
      </c>
      <c r="B50" s="30">
        <v>45000000</v>
      </c>
      <c r="C50" s="21" t="s">
        <v>10</v>
      </c>
      <c r="D50" s="21" t="s">
        <v>47</v>
      </c>
      <c r="E50" s="26" t="s">
        <v>130</v>
      </c>
    </row>
    <row r="51" spans="1:5" ht="31.5" hidden="1" customHeight="1" outlineLevel="2" x14ac:dyDescent="0.25">
      <c r="A51" s="19" t="s">
        <v>136</v>
      </c>
      <c r="B51" s="30">
        <v>15000000</v>
      </c>
      <c r="C51" s="21" t="s">
        <v>10</v>
      </c>
      <c r="D51" s="21" t="s">
        <v>47</v>
      </c>
      <c r="E51" s="26" t="s">
        <v>137</v>
      </c>
    </row>
    <row r="52" spans="1:5" ht="31.5" hidden="1" customHeight="1" outlineLevel="2" x14ac:dyDescent="0.25">
      <c r="A52" s="19" t="s">
        <v>138</v>
      </c>
      <c r="B52" s="30">
        <v>40000000</v>
      </c>
      <c r="C52" s="21" t="s">
        <v>10</v>
      </c>
      <c r="D52" s="21" t="s">
        <v>47</v>
      </c>
      <c r="E52" s="26" t="s">
        <v>130</v>
      </c>
    </row>
    <row r="53" spans="1:5" ht="31.5" hidden="1" customHeight="1" outlineLevel="2" x14ac:dyDescent="0.25">
      <c r="A53" s="19" t="s">
        <v>139</v>
      </c>
      <c r="B53" s="30">
        <v>20000000</v>
      </c>
      <c r="C53" s="21" t="s">
        <v>10</v>
      </c>
      <c r="D53" s="21" t="s">
        <v>47</v>
      </c>
      <c r="E53" s="26" t="s">
        <v>140</v>
      </c>
    </row>
    <row r="54" spans="1:5" ht="31.5" hidden="1" customHeight="1" outlineLevel="2" x14ac:dyDescent="0.25">
      <c r="A54" s="19" t="s">
        <v>141</v>
      </c>
      <c r="B54" s="30">
        <v>10000000</v>
      </c>
      <c r="C54" s="21" t="s">
        <v>10</v>
      </c>
      <c r="D54" s="21" t="s">
        <v>47</v>
      </c>
      <c r="E54" s="26" t="s">
        <v>142</v>
      </c>
    </row>
    <row r="55" spans="1:5" ht="31.5" hidden="1" customHeight="1" outlineLevel="2" x14ac:dyDescent="0.25">
      <c r="A55" s="19" t="s">
        <v>143</v>
      </c>
      <c r="B55" s="30">
        <v>15000000</v>
      </c>
      <c r="C55" s="21" t="s">
        <v>10</v>
      </c>
      <c r="D55" s="21" t="s">
        <v>47</v>
      </c>
      <c r="E55" s="26" t="s">
        <v>144</v>
      </c>
    </row>
    <row r="56" spans="1:5" ht="31.5" hidden="1" customHeight="1" outlineLevel="2" x14ac:dyDescent="0.25">
      <c r="A56" s="19" t="s">
        <v>145</v>
      </c>
      <c r="B56" s="30">
        <v>10000000</v>
      </c>
      <c r="C56" s="21" t="s">
        <v>10</v>
      </c>
      <c r="D56" s="21" t="s">
        <v>47</v>
      </c>
      <c r="E56" s="26" t="s">
        <v>146</v>
      </c>
    </row>
    <row r="57" spans="1:5" ht="31.5" hidden="1" customHeight="1" outlineLevel="2" x14ac:dyDescent="0.25">
      <c r="A57" s="19" t="s">
        <v>147</v>
      </c>
      <c r="B57" s="30">
        <v>15000000</v>
      </c>
      <c r="C57" s="21" t="s">
        <v>10</v>
      </c>
      <c r="D57" s="21" t="s">
        <v>47</v>
      </c>
      <c r="E57" s="26" t="s">
        <v>148</v>
      </c>
    </row>
    <row r="58" spans="1:5" ht="31.5" hidden="1" customHeight="1" outlineLevel="2" x14ac:dyDescent="0.25">
      <c r="A58" s="19" t="s">
        <v>149</v>
      </c>
      <c r="B58" s="30">
        <v>15000000</v>
      </c>
      <c r="C58" s="21" t="s">
        <v>10</v>
      </c>
      <c r="D58" s="21" t="s">
        <v>47</v>
      </c>
      <c r="E58" s="26" t="s">
        <v>150</v>
      </c>
    </row>
    <row r="59" spans="1:5" ht="31.5" hidden="1" customHeight="1" outlineLevel="2" x14ac:dyDescent="0.25">
      <c r="A59" s="19" t="s">
        <v>151</v>
      </c>
      <c r="B59" s="30">
        <v>10000000</v>
      </c>
      <c r="C59" s="21" t="s">
        <v>10</v>
      </c>
      <c r="D59" s="21" t="s">
        <v>47</v>
      </c>
      <c r="E59" s="26" t="s">
        <v>152</v>
      </c>
    </row>
    <row r="60" spans="1:5" ht="31.5" hidden="1" customHeight="1" outlineLevel="2" x14ac:dyDescent="0.25">
      <c r="A60" s="19" t="s">
        <v>153</v>
      </c>
      <c r="B60" s="20">
        <v>40</v>
      </c>
      <c r="C60" s="21" t="s">
        <v>154</v>
      </c>
      <c r="D60" s="21" t="s">
        <v>47</v>
      </c>
      <c r="E60" s="26" t="s">
        <v>155</v>
      </c>
    </row>
    <row r="61" spans="1:5" ht="31.5" hidden="1" customHeight="1" outlineLevel="2" x14ac:dyDescent="0.25">
      <c r="A61" s="19" t="s">
        <v>156</v>
      </c>
      <c r="B61" s="30">
        <v>500000</v>
      </c>
      <c r="C61" s="21" t="s">
        <v>157</v>
      </c>
      <c r="D61" s="21" t="s">
        <v>47</v>
      </c>
      <c r="E61" s="26" t="s">
        <v>158</v>
      </c>
    </row>
    <row r="62" spans="1:5" ht="31.5" hidden="1" customHeight="1" outlineLevel="2" x14ac:dyDescent="0.25">
      <c r="A62" s="19" t="s">
        <v>159</v>
      </c>
      <c r="B62" s="20">
        <v>25</v>
      </c>
      <c r="C62" s="21" t="s">
        <v>154</v>
      </c>
      <c r="D62" s="21" t="s">
        <v>47</v>
      </c>
      <c r="E62" s="26" t="s">
        <v>160</v>
      </c>
    </row>
    <row r="63" spans="1:5" ht="31.5" hidden="1" customHeight="1" outlineLevel="2" x14ac:dyDescent="0.25">
      <c r="A63" s="19" t="s">
        <v>161</v>
      </c>
      <c r="B63" s="30">
        <v>1000000</v>
      </c>
      <c r="C63" s="21" t="s">
        <v>157</v>
      </c>
      <c r="D63" s="21" t="s">
        <v>47</v>
      </c>
      <c r="E63" s="26" t="s">
        <v>162</v>
      </c>
    </row>
    <row r="64" spans="1:5" ht="31.5" hidden="1" customHeight="1" outlineLevel="2" x14ac:dyDescent="0.25">
      <c r="A64" s="19" t="s">
        <v>163</v>
      </c>
      <c r="B64" s="30">
        <v>10000000</v>
      </c>
      <c r="C64" s="21" t="s">
        <v>10</v>
      </c>
      <c r="D64" s="21" t="s">
        <v>47</v>
      </c>
      <c r="E64" s="26" t="s">
        <v>164</v>
      </c>
    </row>
    <row r="65" spans="1:5" ht="31.5" hidden="1" customHeight="1" outlineLevel="2" x14ac:dyDescent="0.25">
      <c r="A65" s="19" t="s">
        <v>165</v>
      </c>
      <c r="B65" s="30">
        <v>8000000</v>
      </c>
      <c r="C65" s="21" t="s">
        <v>10</v>
      </c>
      <c r="D65" s="21" t="s">
        <v>47</v>
      </c>
      <c r="E65" s="26" t="s">
        <v>146</v>
      </c>
    </row>
    <row r="66" spans="1:5" ht="31.5" hidden="1" customHeight="1" outlineLevel="2" x14ac:dyDescent="0.25">
      <c r="A66" s="19" t="s">
        <v>166</v>
      </c>
      <c r="B66" s="30">
        <v>9000000</v>
      </c>
      <c r="C66" s="21" t="s">
        <v>10</v>
      </c>
      <c r="D66" s="21" t="s">
        <v>47</v>
      </c>
      <c r="E66" s="26" t="s">
        <v>167</v>
      </c>
    </row>
    <row r="67" spans="1:5" ht="31.5" hidden="1" customHeight="1" outlineLevel="2" x14ac:dyDescent="0.25">
      <c r="A67" s="19" t="s">
        <v>168</v>
      </c>
      <c r="B67" s="30">
        <v>3000000</v>
      </c>
      <c r="C67" s="21" t="s">
        <v>10</v>
      </c>
      <c r="D67" s="21" t="s">
        <v>47</v>
      </c>
      <c r="E67" s="26" t="s">
        <v>169</v>
      </c>
    </row>
    <row r="68" spans="1:5" ht="31.5" hidden="1" customHeight="1" outlineLevel="2" x14ac:dyDescent="0.25">
      <c r="A68" s="19" t="s">
        <v>170</v>
      </c>
      <c r="B68" s="30">
        <v>9000000</v>
      </c>
      <c r="C68" s="21" t="s">
        <v>10</v>
      </c>
      <c r="D68" s="21" t="s">
        <v>47</v>
      </c>
      <c r="E68" s="26" t="s">
        <v>171</v>
      </c>
    </row>
    <row r="69" spans="1:5" ht="31.5" hidden="1" customHeight="1" outlineLevel="2" x14ac:dyDescent="0.25">
      <c r="A69" s="19" t="s">
        <v>172</v>
      </c>
      <c r="B69" s="30">
        <v>6000000</v>
      </c>
      <c r="C69" s="21" t="s">
        <v>10</v>
      </c>
      <c r="D69" s="21" t="s">
        <v>47</v>
      </c>
      <c r="E69" s="26" t="s">
        <v>146</v>
      </c>
    </row>
    <row r="70" spans="1:5" ht="31.5" hidden="1" customHeight="1" outlineLevel="2" x14ac:dyDescent="0.25">
      <c r="A70" s="19" t="s">
        <v>173</v>
      </c>
      <c r="B70" s="30">
        <v>8000000</v>
      </c>
      <c r="C70" s="21" t="s">
        <v>10</v>
      </c>
      <c r="D70" s="21" t="s">
        <v>47</v>
      </c>
      <c r="E70" s="26" t="s">
        <v>174</v>
      </c>
    </row>
    <row r="71" spans="1:5" ht="31.5" hidden="1" customHeight="1" outlineLevel="2" x14ac:dyDescent="0.25">
      <c r="A71" s="19" t="s">
        <v>175</v>
      </c>
      <c r="B71" s="30">
        <v>8000000</v>
      </c>
      <c r="C71" s="21" t="s">
        <v>10</v>
      </c>
      <c r="D71" s="21" t="s">
        <v>47</v>
      </c>
      <c r="E71" s="26" t="s">
        <v>176</v>
      </c>
    </row>
    <row r="72" spans="1:5" ht="31.5" hidden="1" customHeight="1" outlineLevel="2" x14ac:dyDescent="0.25">
      <c r="A72" s="19" t="s">
        <v>177</v>
      </c>
      <c r="B72" s="30">
        <v>4000000</v>
      </c>
      <c r="C72" s="21" t="s">
        <v>10</v>
      </c>
      <c r="D72" s="21" t="s">
        <v>47</v>
      </c>
      <c r="E72" s="26" t="s">
        <v>176</v>
      </c>
    </row>
    <row r="73" spans="1:5" ht="31.5" hidden="1" customHeight="1" outlineLevel="2" x14ac:dyDescent="0.25">
      <c r="A73" s="19" t="s">
        <v>178</v>
      </c>
      <c r="B73" s="30">
        <v>14000000</v>
      </c>
      <c r="C73" s="21" t="s">
        <v>10</v>
      </c>
      <c r="D73" s="21" t="s">
        <v>47</v>
      </c>
      <c r="E73" s="26" t="s">
        <v>179</v>
      </c>
    </row>
    <row r="74" spans="1:5" ht="31.5" hidden="1" customHeight="1" outlineLevel="2" x14ac:dyDescent="0.25">
      <c r="A74" s="19" t="s">
        <v>180</v>
      </c>
      <c r="B74" s="30">
        <v>6000000</v>
      </c>
      <c r="C74" s="21" t="s">
        <v>10</v>
      </c>
      <c r="D74" s="21" t="s">
        <v>47</v>
      </c>
      <c r="E74" s="26" t="s">
        <v>181</v>
      </c>
    </row>
    <row r="75" spans="1:5" ht="31.5" hidden="1" customHeight="1" outlineLevel="2" x14ac:dyDescent="0.25">
      <c r="A75" s="19" t="s">
        <v>182</v>
      </c>
      <c r="B75" s="30">
        <v>7000000</v>
      </c>
      <c r="C75" s="21" t="s">
        <v>10</v>
      </c>
      <c r="D75" s="21" t="s">
        <v>47</v>
      </c>
      <c r="E75" s="26" t="s">
        <v>183</v>
      </c>
    </row>
    <row r="76" spans="1:5" ht="31.5" hidden="1" customHeight="1" outlineLevel="2" x14ac:dyDescent="0.25">
      <c r="A76" s="19" t="s">
        <v>184</v>
      </c>
      <c r="B76" s="30">
        <v>3000000</v>
      </c>
      <c r="C76" s="21" t="s">
        <v>10</v>
      </c>
      <c r="D76" s="21" t="s">
        <v>47</v>
      </c>
      <c r="E76" s="26" t="s">
        <v>181</v>
      </c>
    </row>
    <row r="77" spans="1:5" ht="13.5" customHeight="1" collapsed="1" x14ac:dyDescent="0.25"/>
    <row r="78" spans="1:5" ht="13.5" customHeight="1" x14ac:dyDescent="0.25">
      <c r="A78" s="259" t="s">
        <v>185</v>
      </c>
      <c r="B78" s="259"/>
      <c r="C78" s="259"/>
      <c r="D78" s="259"/>
      <c r="E78" s="259"/>
    </row>
    <row r="79" spans="1:5" ht="36.75" hidden="1" customHeight="1" outlineLevel="1" x14ac:dyDescent="0.25">
      <c r="A79" s="19" t="s">
        <v>186</v>
      </c>
      <c r="B79" s="20">
        <v>150000000</v>
      </c>
      <c r="C79" s="21" t="s">
        <v>118</v>
      </c>
      <c r="D79" s="21" t="s">
        <v>51</v>
      </c>
      <c r="E79" s="26" t="s">
        <v>187</v>
      </c>
    </row>
    <row r="80" spans="1:5" ht="33.75" hidden="1" customHeight="1" outlineLevel="1" x14ac:dyDescent="0.25">
      <c r="A80" s="19" t="s">
        <v>188</v>
      </c>
      <c r="B80" s="28">
        <v>0.35</v>
      </c>
      <c r="C80" s="21" t="s">
        <v>54</v>
      </c>
      <c r="D80" s="21" t="s">
        <v>47</v>
      </c>
      <c r="E80" s="26" t="s">
        <v>189</v>
      </c>
    </row>
    <row r="82" spans="1:5" ht="13.5" customHeight="1" x14ac:dyDescent="0.25">
      <c r="A82" s="259" t="s">
        <v>190</v>
      </c>
      <c r="B82" s="259"/>
      <c r="C82" s="259"/>
      <c r="D82" s="259"/>
      <c r="E82" s="259"/>
    </row>
    <row r="83" spans="1:5" ht="54" hidden="1" customHeight="1" outlineLevel="1" x14ac:dyDescent="0.25">
      <c r="A83" s="21" t="s">
        <v>191</v>
      </c>
      <c r="B83" s="28">
        <v>0.1</v>
      </c>
      <c r="C83" s="21" t="s">
        <v>54</v>
      </c>
      <c r="D83" s="21" t="s">
        <v>47</v>
      </c>
      <c r="E83" s="26" t="s">
        <v>192</v>
      </c>
    </row>
    <row r="85" spans="1:5" x14ac:dyDescent="0.25">
      <c r="A85" s="21" t="s">
        <v>193</v>
      </c>
      <c r="B85" s="28">
        <v>0.1</v>
      </c>
    </row>
  </sheetData>
  <scenarios current="0" show="0">
    <scenario name="Base" count="3" comment="Supuestos actuales del caso base (sin cambios).">
      <inputCells r="B12" val="4.2"/>
      <inputCells r="B7" val="0.0055"/>
      <inputCells r="B8" val="0.88"/>
    </scenario>
    <scenario name="Optimista" count="3" comment="Precio +15%, Ley +5%, Recuperación +3% — mismos % que en la hoja Scenarios.">
      <inputCells r="B12" val="4.83"/>
      <inputCells r="B7" val="0.005775"/>
      <inputCells r="B8" val="0.9064"/>
    </scenario>
    <scenario name="Pesimista" count="3" comment="Precio -15%, Ley -5%, Recuperación -3% — mismos % que en la hoja Scenarios.">
      <inputCells r="B12" val="3.57"/>
      <inputCells r="B7" val="0.005225"/>
      <inputCells r="B8" val="0.8536"/>
    </scenario>
  </scenarios>
  <mergeCells count="7">
    <mergeCell ref="A78:E78"/>
    <mergeCell ref="A82:E82"/>
    <mergeCell ref="A5:E5"/>
    <mergeCell ref="A11:E11"/>
    <mergeCell ref="A18:E18"/>
    <mergeCell ref="A30:E30"/>
    <mergeCell ref="A37:E37"/>
  </mergeCell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0"/>
  <sheetViews>
    <sheetView showGridLines="0" zoomScale="90" zoomScaleNormal="90" workbookViewId="0">
      <pane ySplit="4" topLeftCell="A5" activePane="bottomLeft" state="frozen"/>
      <selection pane="bottomLeft" activeCell="E9" sqref="E9"/>
    </sheetView>
  </sheetViews>
  <sheetFormatPr baseColWidth="10" defaultColWidth="8.7109375" defaultRowHeight="13.5" x14ac:dyDescent="0.25"/>
  <cols>
    <col min="1" max="1" width="41.28515625" style="6" customWidth="1"/>
    <col min="2" max="2" width="16" style="6" customWidth="1"/>
    <col min="3" max="3" width="12" style="6" customWidth="1"/>
    <col min="4" max="4" width="45" style="6" customWidth="1"/>
    <col min="5" max="5" width="29.5703125" style="6" customWidth="1"/>
    <col min="6" max="6" width="11.28515625" style="6" customWidth="1"/>
    <col min="7" max="7" width="10.140625" style="6" customWidth="1"/>
    <col min="8" max="8" width="9" style="6" customWidth="1"/>
    <col min="9" max="16384" width="8.7109375" style="6"/>
  </cols>
  <sheetData>
    <row r="1" spans="1:8" ht="21" customHeight="1" x14ac:dyDescent="0.35">
      <c r="A1" s="7" t="s">
        <v>194</v>
      </c>
    </row>
    <row r="2" spans="1:8" ht="13.5" customHeight="1" x14ac:dyDescent="0.25">
      <c r="A2" s="9" t="s">
        <v>195</v>
      </c>
    </row>
    <row r="4" spans="1:8" ht="13.5" customHeight="1" x14ac:dyDescent="0.25">
      <c r="A4" s="18" t="s">
        <v>196</v>
      </c>
      <c r="B4" s="18" t="s">
        <v>40</v>
      </c>
      <c r="C4" s="18" t="s">
        <v>41</v>
      </c>
      <c r="D4" s="18" t="s">
        <v>197</v>
      </c>
      <c r="F4" s="18" t="s">
        <v>198</v>
      </c>
      <c r="G4" s="18" t="s">
        <v>199</v>
      </c>
    </row>
    <row r="5" spans="1:8" ht="25.5" customHeight="1" x14ac:dyDescent="0.25">
      <c r="A5" s="21" t="s">
        <v>200</v>
      </c>
      <c r="B5" s="31">
        <f>+Toneladas_Procesadas</f>
        <v>10000000</v>
      </c>
      <c r="C5" s="32" t="s">
        <v>46</v>
      </c>
      <c r="D5" s="26"/>
      <c r="F5" s="33">
        <f>42000*365</f>
        <v>15330000</v>
      </c>
      <c r="G5" s="33">
        <f>69000*365</f>
        <v>25185000</v>
      </c>
      <c r="H5" s="34"/>
    </row>
    <row r="6" spans="1:8" ht="25.5" customHeight="1" x14ac:dyDescent="0.25">
      <c r="A6" s="21" t="s">
        <v>201</v>
      </c>
      <c r="B6" s="35">
        <f>Ley_Cobre</f>
        <v>5.4999999999999997E-3</v>
      </c>
      <c r="C6" s="32" t="s">
        <v>54</v>
      </c>
      <c r="D6" s="26"/>
      <c r="F6" s="35">
        <f>+F7/F5</f>
        <v>4.8923679060665359E-3</v>
      </c>
      <c r="G6" s="35">
        <f>+G7/G5</f>
        <v>6.8999999999999999E-3</v>
      </c>
      <c r="H6" s="36"/>
    </row>
    <row r="7" spans="1:8" ht="25.5" customHeight="1" x14ac:dyDescent="0.25">
      <c r="A7" s="37" t="s">
        <v>202</v>
      </c>
      <c r="B7" s="38">
        <f>+B5*B6</f>
        <v>55000</v>
      </c>
      <c r="C7" s="39" t="s">
        <v>203</v>
      </c>
      <c r="D7" s="40" t="s">
        <v>204</v>
      </c>
      <c r="F7" s="33">
        <v>75000</v>
      </c>
      <c r="G7" s="33">
        <v>173776.5</v>
      </c>
    </row>
    <row r="8" spans="1:8" ht="25.5" customHeight="1" x14ac:dyDescent="0.25">
      <c r="A8" s="21" t="s">
        <v>205</v>
      </c>
      <c r="B8" s="35">
        <f>Recuperacion_Metalurgica</f>
        <v>0.88</v>
      </c>
      <c r="C8" s="32" t="s">
        <v>54</v>
      </c>
      <c r="D8" s="41" t="s">
        <v>206</v>
      </c>
      <c r="F8" s="42"/>
    </row>
    <row r="9" spans="1:8" ht="27" customHeight="1" x14ac:dyDescent="0.25">
      <c r="A9" s="37" t="s">
        <v>207</v>
      </c>
      <c r="B9" s="38">
        <f>+B7*B8</f>
        <v>48400</v>
      </c>
      <c r="C9" s="39" t="s">
        <v>203</v>
      </c>
      <c r="D9" s="40" t="s">
        <v>208</v>
      </c>
    </row>
    <row r="10" spans="1:8" ht="144" customHeight="1" x14ac:dyDescent="0.25">
      <c r="A10" s="43" t="s">
        <v>56</v>
      </c>
      <c r="B10" s="44">
        <f>Payability</f>
        <v>0.96499999999999997</v>
      </c>
      <c r="C10" s="45" t="s">
        <v>54</v>
      </c>
      <c r="D10" s="46" t="s">
        <v>209</v>
      </c>
      <c r="E10" s="46" t="s">
        <v>210</v>
      </c>
    </row>
    <row r="11" spans="1:8" ht="25.5" customHeight="1" x14ac:dyDescent="0.25">
      <c r="A11" s="37" t="s">
        <v>211</v>
      </c>
      <c r="B11" s="38">
        <f>+B9*B10</f>
        <v>46706</v>
      </c>
      <c r="C11" s="39" t="s">
        <v>203</v>
      </c>
      <c r="D11" s="40" t="s">
        <v>212</v>
      </c>
    </row>
    <row r="12" spans="1:8" ht="25.5" customHeight="1" x14ac:dyDescent="0.25">
      <c r="A12" s="47" t="s">
        <v>213</v>
      </c>
      <c r="B12" s="48">
        <f>+B11/B5</f>
        <v>4.6705999999999996E-3</v>
      </c>
      <c r="C12" s="32" t="s">
        <v>54</v>
      </c>
      <c r="D12" s="26" t="s">
        <v>214</v>
      </c>
    </row>
    <row r="14" spans="1:8" ht="30" customHeight="1" x14ac:dyDescent="0.25">
      <c r="A14" s="49" t="s">
        <v>215</v>
      </c>
    </row>
    <row r="16" spans="1:8" ht="13.5" customHeight="1" x14ac:dyDescent="0.25">
      <c r="A16" s="6" t="s">
        <v>216</v>
      </c>
      <c r="B16" s="33">
        <f>+B5</f>
        <v>10000000</v>
      </c>
    </row>
    <row r="17" spans="1:2" ht="13.5" customHeight="1" x14ac:dyDescent="0.25">
      <c r="A17" s="6" t="s">
        <v>186</v>
      </c>
      <c r="B17" s="33">
        <f>+Reservas_Totales</f>
        <v>150000000</v>
      </c>
    </row>
    <row r="18" spans="1:2" ht="13.5" customHeight="1" x14ac:dyDescent="0.25">
      <c r="A18" s="6" t="s">
        <v>217</v>
      </c>
      <c r="B18" s="50">
        <f>+B16/B17</f>
        <v>6.6666666666666666E-2</v>
      </c>
    </row>
    <row r="19" spans="1:2" ht="13.5" customHeight="1" x14ac:dyDescent="0.25">
      <c r="A19" s="6" t="s">
        <v>218</v>
      </c>
      <c r="B19" s="51">
        <f>+CAPEX_Inicial_Total</f>
        <v>-739200000</v>
      </c>
    </row>
    <row r="20" spans="1:2" ht="13.5" customHeight="1" x14ac:dyDescent="0.25">
      <c r="A20" s="6" t="s">
        <v>219</v>
      </c>
      <c r="B20" s="51">
        <f>+B18*B19</f>
        <v>-49280000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showGridLines="0" zoomScale="90" zoomScaleNormal="90" workbookViewId="0">
      <pane ySplit="4" topLeftCell="A5" activePane="bottomLeft" state="frozen"/>
      <selection pane="bottomLeft" activeCell="B7" sqref="B7"/>
    </sheetView>
  </sheetViews>
  <sheetFormatPr baseColWidth="10" defaultColWidth="8.7109375" defaultRowHeight="13.5" x14ac:dyDescent="0.25"/>
  <cols>
    <col min="1" max="1" width="40" style="6" customWidth="1"/>
    <col min="2" max="2" width="16" style="6" customWidth="1"/>
    <col min="3" max="3" width="12" style="6" customWidth="1"/>
    <col min="4" max="4" width="55" style="6" customWidth="1"/>
    <col min="5" max="16384" width="8.7109375" style="6"/>
  </cols>
  <sheetData>
    <row r="1" spans="1:4" ht="21" customHeight="1" x14ac:dyDescent="0.35">
      <c r="A1" s="7" t="s">
        <v>220</v>
      </c>
    </row>
    <row r="2" spans="1:4" ht="13.5" customHeight="1" x14ac:dyDescent="0.25">
      <c r="A2" s="9" t="s">
        <v>221</v>
      </c>
    </row>
    <row r="4" spans="1:4" ht="13.5" customHeight="1" x14ac:dyDescent="0.25">
      <c r="A4" s="18" t="s">
        <v>196</v>
      </c>
      <c r="B4" s="18" t="s">
        <v>40</v>
      </c>
      <c r="C4" s="18" t="s">
        <v>41</v>
      </c>
      <c r="D4" s="18" t="s">
        <v>222</v>
      </c>
    </row>
    <row r="5" spans="1:4" ht="13.5" customHeight="1" x14ac:dyDescent="0.25">
      <c r="A5" s="259" t="s">
        <v>223</v>
      </c>
      <c r="B5" s="259"/>
      <c r="C5" s="259"/>
      <c r="D5" s="259"/>
    </row>
    <row r="6" spans="1:4" ht="27.75" customHeight="1" x14ac:dyDescent="0.25">
      <c r="A6" s="21" t="str">
        <f>+Production!A11</f>
        <v>Metal pagable (100% Cu)</v>
      </c>
      <c r="B6" s="52">
        <f>Production!$B$11</f>
        <v>46706</v>
      </c>
      <c r="C6" s="53" t="s">
        <v>203</v>
      </c>
      <c r="D6" s="26" t="s">
        <v>224</v>
      </c>
    </row>
    <row r="7" spans="1:4" ht="27.75" customHeight="1" x14ac:dyDescent="0.25">
      <c r="A7" s="21" t="str">
        <f>+A6</f>
        <v>Metal pagable (100% Cu)</v>
      </c>
      <c r="B7" s="54">
        <f>B6*Factor_Conversion_TnLb</f>
        <v>102968981.72</v>
      </c>
      <c r="C7" s="53" t="s">
        <v>225</v>
      </c>
      <c r="D7" s="26" t="s">
        <v>226</v>
      </c>
    </row>
    <row r="8" spans="1:4" ht="27.75" customHeight="1" x14ac:dyDescent="0.25">
      <c r="A8" s="21" t="s">
        <v>227</v>
      </c>
      <c r="B8" s="55">
        <f>Precio_Cobre</f>
        <v>4.2</v>
      </c>
      <c r="C8" s="53" t="s">
        <v>60</v>
      </c>
      <c r="D8" s="26"/>
    </row>
    <row r="9" spans="1:4" ht="27.75" customHeight="1" x14ac:dyDescent="0.25">
      <c r="A9" s="56" t="s">
        <v>228</v>
      </c>
      <c r="B9" s="57">
        <f>B7*B8</f>
        <v>432469723.22400004</v>
      </c>
      <c r="C9" s="58" t="s">
        <v>10</v>
      </c>
      <c r="D9" s="59" t="s">
        <v>229</v>
      </c>
    </row>
    <row r="10" spans="1:4" ht="15.75" customHeight="1" x14ac:dyDescent="0.25"/>
    <row r="11" spans="1:4" ht="13.5" customHeight="1" x14ac:dyDescent="0.25">
      <c r="A11" s="259" t="s">
        <v>230</v>
      </c>
      <c r="B11" s="259"/>
      <c r="C11" s="259"/>
      <c r="D11" s="259"/>
    </row>
    <row r="12" spans="1:4" ht="30" customHeight="1" x14ac:dyDescent="0.25">
      <c r="A12" s="21" t="str">
        <f>+Production!A9</f>
        <v>Metal recuperado (100% Cu)</v>
      </c>
      <c r="B12" s="52">
        <f>Production!$B$9</f>
        <v>48400</v>
      </c>
      <c r="C12" s="53" t="s">
        <v>203</v>
      </c>
      <c r="D12" s="26" t="s">
        <v>231</v>
      </c>
    </row>
    <row r="13" spans="1:4" ht="19.5" customHeight="1" x14ac:dyDescent="0.25">
      <c r="A13" s="21" t="s">
        <v>232</v>
      </c>
      <c r="B13" s="60">
        <f>Ley_Concentrado</f>
        <v>0.3</v>
      </c>
      <c r="C13" s="53" t="s">
        <v>50</v>
      </c>
      <c r="D13" s="61"/>
    </row>
    <row r="14" spans="1:4" ht="81" customHeight="1" x14ac:dyDescent="0.25">
      <c r="A14" s="43" t="s">
        <v>233</v>
      </c>
      <c r="B14" s="62">
        <f>B12/B13</f>
        <v>161333.33333333334</v>
      </c>
      <c r="C14" s="63" t="s">
        <v>234</v>
      </c>
      <c r="D14" s="46" t="s">
        <v>235</v>
      </c>
    </row>
    <row r="15" spans="1:4" ht="19.5" customHeight="1" x14ac:dyDescent="0.25">
      <c r="A15" s="21" t="s">
        <v>236</v>
      </c>
      <c r="B15" s="55">
        <f>TC_Unitario</f>
        <v>80</v>
      </c>
      <c r="C15" s="53" t="s">
        <v>69</v>
      </c>
      <c r="D15" s="61"/>
    </row>
    <row r="16" spans="1:4" ht="54" customHeight="1" x14ac:dyDescent="0.25">
      <c r="A16" s="21" t="s">
        <v>237</v>
      </c>
      <c r="B16" s="64">
        <f>-B14*B15</f>
        <v>-12906666.666666668</v>
      </c>
      <c r="C16" s="53" t="s">
        <v>10</v>
      </c>
      <c r="D16" s="26" t="s">
        <v>238</v>
      </c>
    </row>
    <row r="17" spans="1:4" ht="19.5" customHeight="1" x14ac:dyDescent="0.25">
      <c r="A17" s="21" t="s">
        <v>239</v>
      </c>
      <c r="B17" s="65">
        <f>RC_Unitario</f>
        <v>0.08</v>
      </c>
      <c r="C17" s="53" t="s">
        <v>60</v>
      </c>
      <c r="D17" s="61"/>
    </row>
    <row r="18" spans="1:4" ht="120" customHeight="1" x14ac:dyDescent="0.25">
      <c r="A18" s="43" t="s">
        <v>240</v>
      </c>
      <c r="B18" s="66">
        <f>-B7*B17</f>
        <v>-8237518.5376000004</v>
      </c>
      <c r="C18" s="63" t="s">
        <v>10</v>
      </c>
      <c r="D18" s="46" t="s">
        <v>241</v>
      </c>
    </row>
    <row r="19" spans="1:4" ht="13.5" customHeight="1" x14ac:dyDescent="0.25">
      <c r="A19" s="259" t="s">
        <v>242</v>
      </c>
      <c r="B19" s="259"/>
      <c r="C19" s="259"/>
      <c r="D19" s="259"/>
    </row>
    <row r="20" spans="1:4" ht="31.5" customHeight="1" x14ac:dyDescent="0.25">
      <c r="A20" s="67" t="s">
        <v>243</v>
      </c>
      <c r="B20" s="68">
        <f>B9+B16+B18</f>
        <v>411325538.01973337</v>
      </c>
      <c r="C20" s="69" t="s">
        <v>10</v>
      </c>
      <c r="D20" s="70" t="s">
        <v>244</v>
      </c>
    </row>
    <row r="21" spans="1:4" ht="30" customHeight="1" x14ac:dyDescent="0.25">
      <c r="A21" s="47" t="s">
        <v>245</v>
      </c>
      <c r="B21" s="71">
        <f>B20/B9</f>
        <v>0.95110828788975144</v>
      </c>
      <c r="C21" s="53" t="s">
        <v>54</v>
      </c>
      <c r="D21" s="26" t="s">
        <v>246</v>
      </c>
    </row>
  </sheetData>
  <mergeCells count="3">
    <mergeCell ref="A5:D5"/>
    <mergeCell ref="A11:D11"/>
    <mergeCell ref="A19:D1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showGridLines="0" zoomScale="90" zoomScaleNormal="90" workbookViewId="0">
      <pane ySplit="4" topLeftCell="A5" activePane="bottomLeft" state="frozen"/>
      <selection pane="bottomLeft" activeCell="B8" sqref="B8"/>
    </sheetView>
  </sheetViews>
  <sheetFormatPr baseColWidth="10" defaultColWidth="42" defaultRowHeight="13.5" x14ac:dyDescent="0.25"/>
  <cols>
    <col min="1" max="16384" width="42" style="6"/>
  </cols>
  <sheetData>
    <row r="1" spans="1:4" ht="21" customHeight="1" x14ac:dyDescent="0.35">
      <c r="A1" s="7" t="s">
        <v>247</v>
      </c>
    </row>
    <row r="2" spans="1:4" ht="13.5" customHeight="1" x14ac:dyDescent="0.25">
      <c r="A2" s="9" t="s">
        <v>248</v>
      </c>
    </row>
    <row r="4" spans="1:4" ht="13.5" customHeight="1" x14ac:dyDescent="0.25">
      <c r="A4" s="18" t="s">
        <v>196</v>
      </c>
      <c r="B4" s="18" t="s">
        <v>40</v>
      </c>
      <c r="C4" s="18" t="s">
        <v>41</v>
      </c>
      <c r="D4" s="18" t="s">
        <v>222</v>
      </c>
    </row>
    <row r="5" spans="1:4" ht="13.5" customHeight="1" x14ac:dyDescent="0.25">
      <c r="A5" s="259" t="s">
        <v>249</v>
      </c>
      <c r="B5" s="259"/>
      <c r="C5" s="259"/>
      <c r="D5" s="259"/>
    </row>
    <row r="6" spans="1:4" ht="27.75" customHeight="1" x14ac:dyDescent="0.25">
      <c r="A6" s="21" t="s">
        <v>200</v>
      </c>
      <c r="B6" s="31">
        <f>Toneladas_Procesadas</f>
        <v>10000000</v>
      </c>
      <c r="C6" s="53" t="s">
        <v>46</v>
      </c>
      <c r="D6" s="26" t="s">
        <v>250</v>
      </c>
    </row>
    <row r="7" spans="1:4" ht="27.75" customHeight="1" x14ac:dyDescent="0.25">
      <c r="A7" s="21" t="s">
        <v>251</v>
      </c>
      <c r="B7" s="55">
        <f>'OPEX Detail'!$B$9</f>
        <v>3.2</v>
      </c>
      <c r="C7" s="53" t="s">
        <v>121</v>
      </c>
      <c r="D7" s="26"/>
    </row>
    <row r="8" spans="1:4" ht="27.75" customHeight="1" x14ac:dyDescent="0.25">
      <c r="A8" s="21" t="s">
        <v>252</v>
      </c>
      <c r="B8" s="64">
        <f>-B6*B7</f>
        <v>-32000000</v>
      </c>
      <c r="C8" s="53" t="s">
        <v>10</v>
      </c>
      <c r="D8" s="26" t="s">
        <v>253</v>
      </c>
    </row>
    <row r="9" spans="1:4" ht="27.75" customHeight="1" x14ac:dyDescent="0.25">
      <c r="A9" s="21" t="s">
        <v>254</v>
      </c>
      <c r="B9" s="55">
        <f>'OPEX Detail'!$B$16</f>
        <v>4.7</v>
      </c>
      <c r="C9" s="53" t="s">
        <v>121</v>
      </c>
      <c r="D9" s="26" t="s">
        <v>255</v>
      </c>
    </row>
    <row r="10" spans="1:4" ht="27.75" customHeight="1" x14ac:dyDescent="0.25">
      <c r="A10" s="21" t="s">
        <v>256</v>
      </c>
      <c r="B10" s="64">
        <f>-B6*B9</f>
        <v>-47000000</v>
      </c>
      <c r="C10" s="53" t="s">
        <v>10</v>
      </c>
      <c r="D10" s="26" t="s">
        <v>257</v>
      </c>
    </row>
    <row r="11" spans="1:4" x14ac:dyDescent="0.25">
      <c r="A11" s="11"/>
      <c r="B11" s="72"/>
      <c r="C11" s="9"/>
      <c r="D11" s="73"/>
    </row>
    <row r="12" spans="1:4" ht="13.5" customHeight="1" x14ac:dyDescent="0.25">
      <c r="A12" s="259" t="s">
        <v>258</v>
      </c>
      <c r="B12" s="259"/>
      <c r="C12" s="259"/>
      <c r="D12" s="259"/>
    </row>
    <row r="13" spans="1:4" ht="27.75" customHeight="1" x14ac:dyDescent="0.25">
      <c r="A13" s="21" t="s">
        <v>259</v>
      </c>
      <c r="B13" s="74">
        <f>-Assumptions!$B$27</f>
        <v>-11000000</v>
      </c>
      <c r="C13" s="53" t="s">
        <v>92</v>
      </c>
      <c r="D13" s="26" t="s">
        <v>260</v>
      </c>
    </row>
    <row r="14" spans="1:4" ht="27.75" customHeight="1" x14ac:dyDescent="0.25">
      <c r="A14" s="21" t="s">
        <v>261</v>
      </c>
      <c r="B14" s="74">
        <f>-Assumptions!$B$28</f>
        <v>-45000000</v>
      </c>
      <c r="C14" s="53" t="s">
        <v>92</v>
      </c>
      <c r="D14" s="26" t="s">
        <v>262</v>
      </c>
    </row>
    <row r="15" spans="1:4" x14ac:dyDescent="0.25">
      <c r="A15" s="11"/>
      <c r="B15" s="75"/>
      <c r="C15" s="9"/>
      <c r="D15" s="73"/>
    </row>
    <row r="16" spans="1:4" ht="13.5" customHeight="1" x14ac:dyDescent="0.25">
      <c r="A16" s="259" t="s">
        <v>242</v>
      </c>
      <c r="B16" s="259"/>
      <c r="C16" s="259"/>
      <c r="D16" s="259"/>
    </row>
    <row r="17" spans="1:4" ht="27.75" customHeight="1" x14ac:dyDescent="0.25">
      <c r="A17" s="67" t="s">
        <v>263</v>
      </c>
      <c r="B17" s="76">
        <f>B8+B10+B13+B14</f>
        <v>-135000000</v>
      </c>
      <c r="C17" s="69" t="s">
        <v>10</v>
      </c>
      <c r="D17" s="70" t="s">
        <v>264</v>
      </c>
    </row>
    <row r="18" spans="1:4" ht="27.75" customHeight="1" x14ac:dyDescent="0.25">
      <c r="A18" s="21" t="s">
        <v>265</v>
      </c>
      <c r="B18" s="77">
        <f>-OPEX_Total_Anual/B6</f>
        <v>13.5</v>
      </c>
      <c r="C18" s="53" t="s">
        <v>121</v>
      </c>
      <c r="D18" s="26" t="s">
        <v>266</v>
      </c>
    </row>
    <row r="19" spans="1:4" ht="27.75" customHeight="1" x14ac:dyDescent="0.25">
      <c r="A19" s="21" t="s">
        <v>267</v>
      </c>
      <c r="B19" s="31">
        <f>Production!$B$11</f>
        <v>46706</v>
      </c>
      <c r="C19" s="53" t="s">
        <v>203</v>
      </c>
      <c r="D19" s="26" t="s">
        <v>268</v>
      </c>
    </row>
    <row r="20" spans="1:4" ht="27.75" customHeight="1" x14ac:dyDescent="0.25">
      <c r="A20" s="21" t="s">
        <v>269</v>
      </c>
      <c r="B20" s="54">
        <f>B19*Factor_Conversion_TnLb</f>
        <v>102968981.72</v>
      </c>
      <c r="C20" s="53" t="s">
        <v>225</v>
      </c>
      <c r="D20" s="26" t="s">
        <v>270</v>
      </c>
    </row>
    <row r="21" spans="1:4" ht="27.75" customHeight="1" x14ac:dyDescent="0.25">
      <c r="A21" s="67" t="s">
        <v>271</v>
      </c>
      <c r="B21" s="78">
        <f>-OPEX_Total_Anual/B20</f>
        <v>1.3110744395540479</v>
      </c>
      <c r="C21" s="69" t="s">
        <v>60</v>
      </c>
      <c r="D21" s="70" t="s">
        <v>272</v>
      </c>
    </row>
    <row r="22" spans="1:4" ht="27.75" customHeight="1" x14ac:dyDescent="0.25">
      <c r="A22" s="21" t="s">
        <v>273</v>
      </c>
      <c r="B22" s="79">
        <f>B21/Precio_Cobre</f>
        <v>0.31216058084620185</v>
      </c>
      <c r="C22" s="53" t="s">
        <v>54</v>
      </c>
      <c r="D22" s="26" t="s">
        <v>274</v>
      </c>
    </row>
  </sheetData>
  <mergeCells count="3">
    <mergeCell ref="A5:D5"/>
    <mergeCell ref="A12:D12"/>
    <mergeCell ref="A16:D16"/>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A1:D16"/>
  <sheetViews>
    <sheetView showGridLines="0" zoomScale="90" zoomScaleNormal="90" workbookViewId="0">
      <pane ySplit="3" topLeftCell="A4" activePane="bottomLeft" state="frozen"/>
      <selection pane="bottomLeft" activeCell="A5" sqref="A5"/>
    </sheetView>
  </sheetViews>
  <sheetFormatPr baseColWidth="10" defaultColWidth="8.7109375" defaultRowHeight="13.5" x14ac:dyDescent="0.25"/>
  <cols>
    <col min="1" max="1" width="42" style="6" customWidth="1"/>
    <col min="2" max="2" width="14" style="6" customWidth="1"/>
    <col min="3" max="3" width="16" style="6" customWidth="1"/>
    <col min="4" max="4" width="60" style="6" customWidth="1"/>
    <col min="5" max="16384" width="8.7109375" style="6"/>
  </cols>
  <sheetData>
    <row r="1" spans="1:4" ht="21" customHeight="1" x14ac:dyDescent="0.35">
      <c r="A1" s="7" t="s">
        <v>275</v>
      </c>
    </row>
    <row r="3" spans="1:4" ht="13.5" customHeight="1" x14ac:dyDescent="0.25">
      <c r="A3" s="18" t="s">
        <v>196</v>
      </c>
      <c r="B3" s="18" t="s">
        <v>40</v>
      </c>
      <c r="C3" s="18" t="s">
        <v>41</v>
      </c>
      <c r="D3" s="18" t="s">
        <v>222</v>
      </c>
    </row>
    <row r="4" spans="1:4" ht="13.5" customHeight="1" x14ac:dyDescent="0.25">
      <c r="A4" s="260" t="s">
        <v>276</v>
      </c>
      <c r="B4" s="260"/>
      <c r="C4" s="260"/>
      <c r="D4" s="260"/>
    </row>
    <row r="5" spans="1:4" ht="34.5" customHeight="1" x14ac:dyDescent="0.25">
      <c r="A5" s="21" t="s">
        <v>277</v>
      </c>
      <c r="B5" s="55">
        <f>Assumptions!$B$19</f>
        <v>0.55000000000000004</v>
      </c>
      <c r="C5" s="53" t="s">
        <v>121</v>
      </c>
      <c r="D5" s="26" t="s">
        <v>278</v>
      </c>
    </row>
    <row r="6" spans="1:4" ht="40.5" customHeight="1" x14ac:dyDescent="0.25">
      <c r="A6" s="21" t="s">
        <v>279</v>
      </c>
      <c r="B6" s="55">
        <f>Assumptions!$B$20</f>
        <v>0.45</v>
      </c>
      <c r="C6" s="53" t="s">
        <v>121</v>
      </c>
      <c r="D6" s="26" t="s">
        <v>280</v>
      </c>
    </row>
    <row r="7" spans="1:4" ht="34.5" customHeight="1" x14ac:dyDescent="0.25">
      <c r="A7" s="21" t="s">
        <v>281</v>
      </c>
      <c r="B7" s="55">
        <f>Assumptions!$B$21</f>
        <v>1.7</v>
      </c>
      <c r="C7" s="53" t="s">
        <v>121</v>
      </c>
      <c r="D7" s="26" t="s">
        <v>282</v>
      </c>
    </row>
    <row r="8" spans="1:4" ht="34.5" customHeight="1" x14ac:dyDescent="0.25">
      <c r="A8" s="21" t="s">
        <v>283</v>
      </c>
      <c r="B8" s="55">
        <f>Assumptions!$B$22</f>
        <v>0.5</v>
      </c>
      <c r="C8" s="53" t="s">
        <v>121</v>
      </c>
      <c r="D8" s="26" t="s">
        <v>284</v>
      </c>
    </row>
    <row r="9" spans="1:4" ht="34.5" customHeight="1" x14ac:dyDescent="0.25">
      <c r="A9" s="67" t="s">
        <v>285</v>
      </c>
      <c r="B9" s="78">
        <f>SUM(B5:B8)</f>
        <v>3.2</v>
      </c>
      <c r="C9" s="69" t="s">
        <v>121</v>
      </c>
      <c r="D9" s="70" t="s">
        <v>286</v>
      </c>
    </row>
    <row r="10" spans="1:4" ht="15" customHeight="1" x14ac:dyDescent="0.25"/>
    <row r="11" spans="1:4" ht="34.5" customHeight="1" x14ac:dyDescent="0.25">
      <c r="A11" s="259" t="s">
        <v>287</v>
      </c>
      <c r="B11" s="259"/>
      <c r="C11" s="259"/>
      <c r="D11" s="259"/>
    </row>
    <row r="12" spans="1:4" ht="34.5" customHeight="1" x14ac:dyDescent="0.25">
      <c r="A12" s="21" t="s">
        <v>288</v>
      </c>
      <c r="B12" s="55">
        <f>Assumptions!$B$23</f>
        <v>2.6</v>
      </c>
      <c r="C12" s="53" t="s">
        <v>121</v>
      </c>
      <c r="D12" s="26" t="s">
        <v>289</v>
      </c>
    </row>
    <row r="13" spans="1:4" ht="34.5" customHeight="1" x14ac:dyDescent="0.25">
      <c r="A13" s="21" t="s">
        <v>290</v>
      </c>
      <c r="B13" s="55">
        <f>Assumptions!$B$24</f>
        <v>0.95</v>
      </c>
      <c r="C13" s="53" t="s">
        <v>121</v>
      </c>
      <c r="D13" s="26" t="s">
        <v>291</v>
      </c>
    </row>
    <row r="14" spans="1:4" ht="27" customHeight="1" x14ac:dyDescent="0.25">
      <c r="A14" s="21" t="s">
        <v>292</v>
      </c>
      <c r="B14" s="55">
        <f>Assumptions!$B$25</f>
        <v>0.7</v>
      </c>
      <c r="C14" s="53" t="s">
        <v>121</v>
      </c>
      <c r="D14" s="26" t="s">
        <v>293</v>
      </c>
    </row>
    <row r="15" spans="1:4" ht="40.5" customHeight="1" x14ac:dyDescent="0.25">
      <c r="A15" s="21" t="s">
        <v>294</v>
      </c>
      <c r="B15" s="55">
        <f>Assumptions!$B$26</f>
        <v>0.45</v>
      </c>
      <c r="C15" s="53" t="s">
        <v>121</v>
      </c>
      <c r="D15" s="26" t="s">
        <v>295</v>
      </c>
    </row>
    <row r="16" spans="1:4" ht="34.5" customHeight="1" x14ac:dyDescent="0.25">
      <c r="A16" s="67" t="s">
        <v>296</v>
      </c>
      <c r="B16" s="78">
        <f>SUM(B12:B15)</f>
        <v>4.7</v>
      </c>
      <c r="C16" s="69" t="s">
        <v>121</v>
      </c>
      <c r="D16" s="70" t="s">
        <v>297</v>
      </c>
    </row>
  </sheetData>
  <mergeCells count="2">
    <mergeCell ref="A4:D4"/>
    <mergeCell ref="A11:D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showGridLines="0" zoomScale="90" zoomScaleNormal="90" workbookViewId="0">
      <pane ySplit="4" topLeftCell="A5" activePane="bottomLeft" state="frozen"/>
      <selection pane="bottomLeft" activeCell="B14" sqref="B14"/>
    </sheetView>
  </sheetViews>
  <sheetFormatPr baseColWidth="10" defaultColWidth="40" defaultRowHeight="13.5" x14ac:dyDescent="0.25"/>
  <cols>
    <col min="1" max="16384" width="40" style="6"/>
  </cols>
  <sheetData>
    <row r="1" spans="1:4" ht="21" customHeight="1" x14ac:dyDescent="0.35">
      <c r="A1" s="7" t="s">
        <v>298</v>
      </c>
    </row>
    <row r="2" spans="1:4" ht="13.5" customHeight="1" x14ac:dyDescent="0.25">
      <c r="A2" s="9" t="s">
        <v>299</v>
      </c>
    </row>
    <row r="4" spans="1:4" ht="13.5" customHeight="1" x14ac:dyDescent="0.25">
      <c r="A4" s="18" t="s">
        <v>196</v>
      </c>
      <c r="B4" s="18" t="s">
        <v>40</v>
      </c>
      <c r="C4" s="18" t="s">
        <v>41</v>
      </c>
      <c r="D4" s="18" t="s">
        <v>222</v>
      </c>
    </row>
    <row r="5" spans="1:4" ht="13.5" customHeight="1" x14ac:dyDescent="0.25">
      <c r="A5" s="259" t="s">
        <v>300</v>
      </c>
      <c r="B5" s="259"/>
      <c r="C5" s="259"/>
      <c r="D5" s="259"/>
    </row>
    <row r="6" spans="1:4" ht="27.75" customHeight="1" x14ac:dyDescent="0.25">
      <c r="A6" s="21" t="s">
        <v>97</v>
      </c>
      <c r="B6" s="80">
        <f>-'CAPEX Detail'!$B$18</f>
        <v>-180000000</v>
      </c>
      <c r="C6" s="53" t="s">
        <v>10</v>
      </c>
      <c r="D6" s="26" t="s">
        <v>301</v>
      </c>
    </row>
    <row r="7" spans="1:4" ht="27.75" customHeight="1" x14ac:dyDescent="0.25">
      <c r="A7" s="21" t="s">
        <v>99</v>
      </c>
      <c r="B7" s="80">
        <f>-'CAPEX Detail'!$B$40</f>
        <v>-340000000</v>
      </c>
      <c r="C7" s="53" t="s">
        <v>10</v>
      </c>
      <c r="D7" s="26"/>
    </row>
    <row r="8" spans="1:4" ht="27.75" customHeight="1" x14ac:dyDescent="0.25">
      <c r="A8" s="21" t="s">
        <v>101</v>
      </c>
      <c r="B8" s="80">
        <f>-'CAPEX Detail'!$B$59</f>
        <v>-90000000</v>
      </c>
      <c r="C8" s="53" t="s">
        <v>10</v>
      </c>
      <c r="D8" s="26"/>
    </row>
    <row r="9" spans="1:4" ht="27.75" customHeight="1" x14ac:dyDescent="0.25">
      <c r="A9" s="21" t="s">
        <v>103</v>
      </c>
      <c r="B9" s="80">
        <f>-'CAPEX Detail'!$B$72</f>
        <v>-50000000</v>
      </c>
      <c r="C9" s="53" t="s">
        <v>10</v>
      </c>
      <c r="D9" s="26"/>
    </row>
    <row r="10" spans="1:4" ht="27.75" customHeight="1" x14ac:dyDescent="0.25">
      <c r="A10" s="81" t="s">
        <v>302</v>
      </c>
      <c r="B10" s="82">
        <f>SUM(B6:B9)</f>
        <v>-660000000</v>
      </c>
      <c r="C10" s="53" t="s">
        <v>10</v>
      </c>
      <c r="D10" s="26" t="s">
        <v>303</v>
      </c>
    </row>
    <row r="11" spans="1:4" ht="27.75" customHeight="1" x14ac:dyDescent="0.25">
      <c r="A11" s="21" t="s">
        <v>304</v>
      </c>
      <c r="B11" s="83">
        <f>Assumptions!$B$35</f>
        <v>0.12</v>
      </c>
      <c r="C11" s="53" t="s">
        <v>54</v>
      </c>
      <c r="D11" s="26"/>
    </row>
    <row r="12" spans="1:4" ht="36.75" customHeight="1" x14ac:dyDescent="0.25">
      <c r="A12" s="21" t="s">
        <v>305</v>
      </c>
      <c r="B12" s="84">
        <f>B10*B11</f>
        <v>-79200000</v>
      </c>
      <c r="C12" s="53" t="s">
        <v>10</v>
      </c>
      <c r="D12" s="26" t="s">
        <v>306</v>
      </c>
    </row>
    <row r="13" spans="1:4" ht="13.5" customHeight="1" x14ac:dyDescent="0.25">
      <c r="A13" s="259" t="s">
        <v>242</v>
      </c>
      <c r="B13" s="259"/>
      <c r="C13" s="259"/>
      <c r="D13" s="259"/>
    </row>
    <row r="14" spans="1:4" ht="27.75" customHeight="1" x14ac:dyDescent="0.25">
      <c r="A14" s="67" t="s">
        <v>307</v>
      </c>
      <c r="B14" s="68">
        <f>B10+B12</f>
        <v>-739200000</v>
      </c>
      <c r="C14" s="69" t="s">
        <v>10</v>
      </c>
      <c r="D14" s="70" t="s">
        <v>308</v>
      </c>
    </row>
    <row r="15" spans="1:4" ht="27.75" customHeight="1" x14ac:dyDescent="0.25">
      <c r="A15" s="21" t="s">
        <v>309</v>
      </c>
      <c r="B15" s="77">
        <f>-CAPEX_Inicial_Total/Toneladas_Procesadas</f>
        <v>73.92</v>
      </c>
      <c r="C15" s="53" t="s">
        <v>310</v>
      </c>
      <c r="D15" s="26" t="s">
        <v>311</v>
      </c>
    </row>
  </sheetData>
  <mergeCells count="2">
    <mergeCell ref="A5:D5"/>
    <mergeCell ref="A13:D1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0000"/>
  </sheetPr>
  <dimension ref="A1:F72"/>
  <sheetViews>
    <sheetView showGridLines="0" zoomScale="90" zoomScaleNormal="90" workbookViewId="0">
      <pane ySplit="4" topLeftCell="A5" activePane="bottomLeft" state="frozen"/>
      <selection pane="bottomLeft" activeCell="A73" sqref="A73"/>
    </sheetView>
  </sheetViews>
  <sheetFormatPr baseColWidth="10" defaultColWidth="8.7109375" defaultRowHeight="13.5" outlineLevelRow="1" x14ac:dyDescent="0.25"/>
  <cols>
    <col min="1" max="1" width="50" style="85" customWidth="1"/>
    <col min="2" max="2" width="16" style="6" customWidth="1"/>
    <col min="3" max="3" width="14" style="6" customWidth="1"/>
    <col min="4" max="4" width="95.7109375" style="6" customWidth="1"/>
    <col min="5" max="5" width="8.7109375" style="6"/>
    <col min="6" max="6" width="15.28515625" style="6" customWidth="1"/>
    <col min="7" max="16384" width="8.7109375" style="6"/>
  </cols>
  <sheetData>
    <row r="1" spans="1:6" ht="21" customHeight="1" x14ac:dyDescent="0.35">
      <c r="A1" s="7" t="s">
        <v>312</v>
      </c>
      <c r="B1" s="11"/>
      <c r="C1" s="11"/>
      <c r="D1" s="11"/>
    </row>
    <row r="2" spans="1:6" x14ac:dyDescent="0.25">
      <c r="A2" s="16" t="s">
        <v>313</v>
      </c>
      <c r="B2" s="11"/>
      <c r="C2" s="11"/>
      <c r="D2" s="11"/>
    </row>
    <row r="3" spans="1:6" ht="13.5" customHeight="1" x14ac:dyDescent="0.25">
      <c r="A3" s="86"/>
      <c r="B3" s="11"/>
      <c r="C3" s="11"/>
      <c r="D3" s="11"/>
    </row>
    <row r="4" spans="1:6" s="88" customFormat="1" x14ac:dyDescent="0.25">
      <c r="A4" s="17" t="s">
        <v>196</v>
      </c>
      <c r="B4" s="87" t="s">
        <v>40</v>
      </c>
      <c r="C4" s="87" t="s">
        <v>41</v>
      </c>
      <c r="D4" s="87" t="s">
        <v>314</v>
      </c>
    </row>
    <row r="5" spans="1:6" s="88" customFormat="1" x14ac:dyDescent="0.25">
      <c r="A5" s="261" t="s">
        <v>315</v>
      </c>
      <c r="B5" s="261"/>
      <c r="C5" s="261"/>
      <c r="D5" s="261"/>
    </row>
    <row r="6" spans="1:6" s="88" customFormat="1" hidden="1" outlineLevel="1" x14ac:dyDescent="0.25">
      <c r="A6" s="19" t="s">
        <v>316</v>
      </c>
      <c r="B6" s="89">
        <f>Assumptions!$B$38</f>
        <v>36000000</v>
      </c>
      <c r="C6" s="63" t="s">
        <v>10</v>
      </c>
      <c r="D6" s="46" t="s">
        <v>110</v>
      </c>
      <c r="E6" s="88" t="s">
        <v>317</v>
      </c>
    </row>
    <row r="7" spans="1:6" s="88" customFormat="1" hidden="1" outlineLevel="1" x14ac:dyDescent="0.25">
      <c r="A7" s="19" t="s">
        <v>318</v>
      </c>
      <c r="B7" s="89">
        <f>Assumptions!$B$39</f>
        <v>24000000</v>
      </c>
      <c r="C7" s="63" t="s">
        <v>10</v>
      </c>
      <c r="D7" s="46" t="s">
        <v>112</v>
      </c>
      <c r="F7" s="90"/>
    </row>
    <row r="8" spans="1:6" s="88" customFormat="1" hidden="1" outlineLevel="1" x14ac:dyDescent="0.25">
      <c r="A8" s="19" t="s">
        <v>319</v>
      </c>
      <c r="B8" s="89">
        <f>Assumptions!$B$40</f>
        <v>14000000</v>
      </c>
      <c r="C8" s="63" t="s">
        <v>10</v>
      </c>
      <c r="D8" s="46" t="s">
        <v>114</v>
      </c>
    </row>
    <row r="9" spans="1:6" s="88" customFormat="1" ht="27" hidden="1" customHeight="1" outlineLevel="1" x14ac:dyDescent="0.25">
      <c r="A9" s="19" t="s">
        <v>320</v>
      </c>
      <c r="B9" s="89">
        <f>Assumptions!$B$41</f>
        <v>21000000</v>
      </c>
      <c r="C9" s="63" t="s">
        <v>10</v>
      </c>
      <c r="D9" s="46" t="s">
        <v>116</v>
      </c>
    </row>
    <row r="10" spans="1:6" s="88" customFormat="1" hidden="1" outlineLevel="1" x14ac:dyDescent="0.25">
      <c r="A10" s="91" t="s">
        <v>321</v>
      </c>
      <c r="B10" s="92">
        <f>B6+B7+B8+B9</f>
        <v>95000000</v>
      </c>
      <c r="C10" s="93" t="s">
        <v>10</v>
      </c>
      <c r="D10" s="93" t="s">
        <v>322</v>
      </c>
    </row>
    <row r="11" spans="1:6" s="88" customFormat="1" ht="108" hidden="1" customHeight="1" outlineLevel="1" x14ac:dyDescent="0.25">
      <c r="A11" s="19" t="s">
        <v>323</v>
      </c>
      <c r="B11" s="94">
        <f>Assumptions!$B$42</f>
        <v>20000000</v>
      </c>
      <c r="C11" s="63" t="s">
        <v>118</v>
      </c>
      <c r="D11" s="46" t="s">
        <v>324</v>
      </c>
    </row>
    <row r="12" spans="1:6" s="88" customFormat="1" ht="40.5" hidden="1" customHeight="1" outlineLevel="1" x14ac:dyDescent="0.25">
      <c r="A12" s="19" t="s">
        <v>325</v>
      </c>
      <c r="B12" s="95">
        <f>Assumptions!$B$43</f>
        <v>3</v>
      </c>
      <c r="C12" s="63" t="s">
        <v>121</v>
      </c>
      <c r="D12" s="46" t="s">
        <v>122</v>
      </c>
    </row>
    <row r="13" spans="1:6" s="88" customFormat="1" ht="27" hidden="1" customHeight="1" outlineLevel="1" x14ac:dyDescent="0.25">
      <c r="A13" s="96" t="s">
        <v>326</v>
      </c>
      <c r="B13" s="97">
        <f>B11*B12</f>
        <v>60000000</v>
      </c>
      <c r="C13" s="63" t="s">
        <v>10</v>
      </c>
      <c r="D13" s="19"/>
    </row>
    <row r="14" spans="1:6" s="88" customFormat="1" hidden="1" outlineLevel="1" x14ac:dyDescent="0.25">
      <c r="A14" s="91" t="s">
        <v>327</v>
      </c>
      <c r="B14" s="92">
        <f>B13</f>
        <v>60000000</v>
      </c>
      <c r="C14" s="93" t="s">
        <v>10</v>
      </c>
      <c r="D14" s="98" t="s">
        <v>322</v>
      </c>
    </row>
    <row r="15" spans="1:6" s="88" customFormat="1" hidden="1" outlineLevel="1" x14ac:dyDescent="0.25">
      <c r="A15" s="19" t="s">
        <v>328</v>
      </c>
      <c r="B15" s="89">
        <f>Assumptions!$B$44</f>
        <v>15000000</v>
      </c>
      <c r="C15" s="63" t="s">
        <v>10</v>
      </c>
      <c r="D15" s="46" t="s">
        <v>124</v>
      </c>
    </row>
    <row r="16" spans="1:6" s="88" customFormat="1" hidden="1" outlineLevel="1" x14ac:dyDescent="0.25">
      <c r="A16" s="19" t="s">
        <v>329</v>
      </c>
      <c r="B16" s="89">
        <f>Assumptions!$B$45</f>
        <v>10000000</v>
      </c>
      <c r="C16" s="63" t="s">
        <v>10</v>
      </c>
      <c r="D16" s="46" t="s">
        <v>126</v>
      </c>
    </row>
    <row r="17" spans="1:4" s="88" customFormat="1" hidden="1" outlineLevel="1" x14ac:dyDescent="0.25">
      <c r="A17" s="99" t="s">
        <v>330</v>
      </c>
      <c r="B17" s="100">
        <f>B15+B16</f>
        <v>25000000</v>
      </c>
      <c r="C17" s="63" t="s">
        <v>10</v>
      </c>
      <c r="D17" s="63" t="s">
        <v>322</v>
      </c>
    </row>
    <row r="18" spans="1:4" s="88" customFormat="1" x14ac:dyDescent="0.25">
      <c r="A18" s="101" t="s">
        <v>331</v>
      </c>
      <c r="B18" s="102">
        <f>B10+B14+B17</f>
        <v>180000000</v>
      </c>
      <c r="C18" s="103" t="s">
        <v>10</v>
      </c>
      <c r="D18" s="104" t="s">
        <v>332</v>
      </c>
    </row>
    <row r="19" spans="1:4" s="88" customFormat="1" x14ac:dyDescent="0.25">
      <c r="A19" s="14"/>
    </row>
    <row r="20" spans="1:4" s="88" customFormat="1" x14ac:dyDescent="0.25">
      <c r="A20" s="261" t="s">
        <v>333</v>
      </c>
      <c r="B20" s="261"/>
      <c r="C20" s="261"/>
      <c r="D20" s="261"/>
    </row>
    <row r="21" spans="1:4" s="88" customFormat="1" hidden="1" outlineLevel="1" x14ac:dyDescent="0.25">
      <c r="A21" s="19" t="s">
        <v>334</v>
      </c>
      <c r="B21" s="89">
        <f>Assumptions!$B$46</f>
        <v>25000000</v>
      </c>
      <c r="C21" s="63" t="s">
        <v>10</v>
      </c>
      <c r="D21" s="46" t="s">
        <v>128</v>
      </c>
    </row>
    <row r="22" spans="1:4" s="88" customFormat="1" hidden="1" outlineLevel="1" x14ac:dyDescent="0.25">
      <c r="A22" s="19" t="s">
        <v>335</v>
      </c>
      <c r="B22" s="89">
        <f>Assumptions!$B$47</f>
        <v>15000000</v>
      </c>
      <c r="C22" s="63" t="s">
        <v>10</v>
      </c>
      <c r="D22" s="46" t="s">
        <v>130</v>
      </c>
    </row>
    <row r="23" spans="1:4" s="88" customFormat="1" hidden="1" outlineLevel="1" x14ac:dyDescent="0.25">
      <c r="A23" s="19" t="s">
        <v>336</v>
      </c>
      <c r="B23" s="89">
        <f>Assumptions!$B$48</f>
        <v>15000000</v>
      </c>
      <c r="C23" s="63" t="s">
        <v>10</v>
      </c>
      <c r="D23" s="46" t="s">
        <v>132</v>
      </c>
    </row>
    <row r="24" spans="1:4" s="88" customFormat="1" hidden="1" outlineLevel="1" x14ac:dyDescent="0.25">
      <c r="A24" s="91" t="s">
        <v>337</v>
      </c>
      <c r="B24" s="92">
        <f>B21+B22+B23</f>
        <v>55000000</v>
      </c>
      <c r="C24" s="93" t="s">
        <v>10</v>
      </c>
      <c r="D24" s="93" t="s">
        <v>338</v>
      </c>
    </row>
    <row r="25" spans="1:4" s="88" customFormat="1" hidden="1" outlineLevel="1" x14ac:dyDescent="0.25">
      <c r="A25" s="19" t="s">
        <v>339</v>
      </c>
      <c r="B25" s="89">
        <f>Assumptions!$B$49</f>
        <v>90000000</v>
      </c>
      <c r="C25" s="63" t="s">
        <v>10</v>
      </c>
      <c r="D25" s="46" t="s">
        <v>134</v>
      </c>
    </row>
    <row r="26" spans="1:4" s="88" customFormat="1" hidden="1" outlineLevel="1" x14ac:dyDescent="0.25">
      <c r="A26" s="19" t="s">
        <v>340</v>
      </c>
      <c r="B26" s="89">
        <f>Assumptions!$B$50</f>
        <v>45000000</v>
      </c>
      <c r="C26" s="63" t="s">
        <v>10</v>
      </c>
      <c r="D26" s="46" t="s">
        <v>130</v>
      </c>
    </row>
    <row r="27" spans="1:4" s="88" customFormat="1" hidden="1" outlineLevel="1" x14ac:dyDescent="0.25">
      <c r="A27" s="19" t="s">
        <v>341</v>
      </c>
      <c r="B27" s="89">
        <f>Assumptions!$B$51</f>
        <v>15000000</v>
      </c>
      <c r="C27" s="63" t="s">
        <v>10</v>
      </c>
      <c r="D27" s="46" t="s">
        <v>137</v>
      </c>
    </row>
    <row r="28" spans="1:4" s="88" customFormat="1" hidden="1" outlineLevel="1" x14ac:dyDescent="0.25">
      <c r="A28" s="91" t="s">
        <v>342</v>
      </c>
      <c r="B28" s="92">
        <f>B25+B26+B27</f>
        <v>150000000</v>
      </c>
      <c r="C28" s="93" t="s">
        <v>10</v>
      </c>
      <c r="D28" s="98" t="s">
        <v>338</v>
      </c>
    </row>
    <row r="29" spans="1:4" s="88" customFormat="1" hidden="1" outlineLevel="1" x14ac:dyDescent="0.25">
      <c r="A29" s="19" t="s">
        <v>343</v>
      </c>
      <c r="B29" s="89">
        <f>Assumptions!$B$52</f>
        <v>40000000</v>
      </c>
      <c r="C29" s="63" t="s">
        <v>10</v>
      </c>
      <c r="D29" s="46" t="s">
        <v>130</v>
      </c>
    </row>
    <row r="30" spans="1:4" s="88" customFormat="1" hidden="1" outlineLevel="1" x14ac:dyDescent="0.25">
      <c r="A30" s="19" t="s">
        <v>344</v>
      </c>
      <c r="B30" s="89">
        <f>Assumptions!$B$53</f>
        <v>20000000</v>
      </c>
      <c r="C30" s="63" t="s">
        <v>10</v>
      </c>
      <c r="D30" s="46" t="s">
        <v>140</v>
      </c>
    </row>
    <row r="31" spans="1:4" s="88" customFormat="1" hidden="1" outlineLevel="1" x14ac:dyDescent="0.25">
      <c r="A31" s="19" t="s">
        <v>345</v>
      </c>
      <c r="B31" s="89">
        <f>Assumptions!$B$54</f>
        <v>10000000</v>
      </c>
      <c r="C31" s="63" t="s">
        <v>10</v>
      </c>
      <c r="D31" s="46" t="s">
        <v>142</v>
      </c>
    </row>
    <row r="32" spans="1:4" s="88" customFormat="1" hidden="1" outlineLevel="1" x14ac:dyDescent="0.25">
      <c r="A32" s="91" t="s">
        <v>346</v>
      </c>
      <c r="B32" s="92">
        <f>B29+B30+B31</f>
        <v>70000000</v>
      </c>
      <c r="C32" s="93" t="s">
        <v>10</v>
      </c>
      <c r="D32" s="93" t="s">
        <v>338</v>
      </c>
    </row>
    <row r="33" spans="1:4" s="88" customFormat="1" hidden="1" outlineLevel="1" x14ac:dyDescent="0.25">
      <c r="A33" s="19" t="s">
        <v>347</v>
      </c>
      <c r="B33" s="89">
        <f>Assumptions!$B$55</f>
        <v>15000000</v>
      </c>
      <c r="C33" s="63" t="s">
        <v>10</v>
      </c>
      <c r="D33" s="46" t="s">
        <v>144</v>
      </c>
    </row>
    <row r="34" spans="1:4" s="88" customFormat="1" hidden="1" outlineLevel="1" x14ac:dyDescent="0.25">
      <c r="A34" s="19" t="s">
        <v>348</v>
      </c>
      <c r="B34" s="89">
        <f>Assumptions!$B$56</f>
        <v>10000000</v>
      </c>
      <c r="C34" s="63" t="s">
        <v>10</v>
      </c>
      <c r="D34" s="46" t="s">
        <v>146</v>
      </c>
    </row>
    <row r="35" spans="1:4" s="88" customFormat="1" hidden="1" outlineLevel="1" x14ac:dyDescent="0.25">
      <c r="A35" s="19" t="s">
        <v>349</v>
      </c>
      <c r="B35" s="89">
        <f>Assumptions!$B$57</f>
        <v>15000000</v>
      </c>
      <c r="C35" s="63" t="s">
        <v>10</v>
      </c>
      <c r="D35" s="46" t="s">
        <v>148</v>
      </c>
    </row>
    <row r="36" spans="1:4" s="88" customFormat="1" hidden="1" outlineLevel="1" x14ac:dyDescent="0.25">
      <c r="A36" s="91" t="s">
        <v>350</v>
      </c>
      <c r="B36" s="92">
        <f>B33+B34+B35</f>
        <v>40000000</v>
      </c>
      <c r="C36" s="93" t="s">
        <v>10</v>
      </c>
      <c r="D36" s="93" t="s">
        <v>338</v>
      </c>
    </row>
    <row r="37" spans="1:4" s="88" customFormat="1" hidden="1" outlineLevel="1" x14ac:dyDescent="0.25">
      <c r="A37" s="19" t="s">
        <v>351</v>
      </c>
      <c r="B37" s="89">
        <f>Assumptions!$B$58</f>
        <v>15000000</v>
      </c>
      <c r="C37" s="63" t="s">
        <v>10</v>
      </c>
      <c r="D37" s="46" t="s">
        <v>150</v>
      </c>
    </row>
    <row r="38" spans="1:4" s="88" customFormat="1" ht="27" hidden="1" customHeight="1" outlineLevel="1" x14ac:dyDescent="0.25">
      <c r="A38" s="19" t="s">
        <v>352</v>
      </c>
      <c r="B38" s="89">
        <f>Assumptions!$B$59</f>
        <v>10000000</v>
      </c>
      <c r="C38" s="63" t="s">
        <v>10</v>
      </c>
      <c r="D38" s="46" t="s">
        <v>152</v>
      </c>
    </row>
    <row r="39" spans="1:4" s="88" customFormat="1" hidden="1" outlineLevel="1" x14ac:dyDescent="0.25">
      <c r="A39" s="91" t="s">
        <v>353</v>
      </c>
      <c r="B39" s="92">
        <f>B37+B38</f>
        <v>25000000</v>
      </c>
      <c r="C39" s="93" t="s">
        <v>10</v>
      </c>
      <c r="D39" s="93" t="s">
        <v>338</v>
      </c>
    </row>
    <row r="40" spans="1:4" s="88" customFormat="1" x14ac:dyDescent="0.25">
      <c r="A40" s="101" t="s">
        <v>354</v>
      </c>
      <c r="B40" s="102">
        <f>B24+B28+B32+B36+B39</f>
        <v>340000000</v>
      </c>
      <c r="C40" s="103" t="s">
        <v>10</v>
      </c>
      <c r="D40" s="103" t="s">
        <v>355</v>
      </c>
    </row>
    <row r="41" spans="1:4" s="88" customFormat="1" x14ac:dyDescent="0.25">
      <c r="A41" s="14"/>
    </row>
    <row r="42" spans="1:4" s="88" customFormat="1" x14ac:dyDescent="0.25">
      <c r="A42" s="261" t="s">
        <v>356</v>
      </c>
      <c r="B42" s="261"/>
      <c r="C42" s="261"/>
      <c r="D42" s="261"/>
    </row>
    <row r="43" spans="1:4" s="88" customFormat="1" hidden="1" outlineLevel="1" x14ac:dyDescent="0.25">
      <c r="A43" s="19" t="s">
        <v>357</v>
      </c>
      <c r="B43" s="94">
        <f>Assumptions!$B$60</f>
        <v>40</v>
      </c>
      <c r="C43" s="63" t="s">
        <v>154</v>
      </c>
      <c r="D43" s="46" t="s">
        <v>155</v>
      </c>
    </row>
    <row r="44" spans="1:4" s="88" customFormat="1" hidden="1" outlineLevel="1" x14ac:dyDescent="0.25">
      <c r="A44" s="19" t="s">
        <v>358</v>
      </c>
      <c r="B44" s="95">
        <f>Assumptions!$B$61</f>
        <v>500000</v>
      </c>
      <c r="C44" s="63" t="s">
        <v>157</v>
      </c>
      <c r="D44" s="46" t="s">
        <v>158</v>
      </c>
    </row>
    <row r="45" spans="1:4" s="88" customFormat="1" ht="27" hidden="1" customHeight="1" outlineLevel="1" x14ac:dyDescent="0.25">
      <c r="A45" s="96" t="s">
        <v>359</v>
      </c>
      <c r="B45" s="97">
        <f>B43*B44</f>
        <v>20000000</v>
      </c>
      <c r="C45" s="63" t="s">
        <v>10</v>
      </c>
      <c r="D45" s="105"/>
    </row>
    <row r="46" spans="1:4" s="88" customFormat="1" hidden="1" outlineLevel="1" x14ac:dyDescent="0.25">
      <c r="A46" s="91" t="s">
        <v>360</v>
      </c>
      <c r="B46" s="92">
        <f>B45</f>
        <v>20000000</v>
      </c>
      <c r="C46" s="93" t="s">
        <v>10</v>
      </c>
      <c r="D46" s="93" t="s">
        <v>361</v>
      </c>
    </row>
    <row r="47" spans="1:4" s="88" customFormat="1" hidden="1" outlineLevel="1" x14ac:dyDescent="0.25">
      <c r="A47" s="19" t="s">
        <v>362</v>
      </c>
      <c r="B47" s="94">
        <f>Assumptions!$B$62</f>
        <v>25</v>
      </c>
      <c r="C47" s="63" t="s">
        <v>154</v>
      </c>
      <c r="D47" s="46" t="s">
        <v>160</v>
      </c>
    </row>
    <row r="48" spans="1:4" s="88" customFormat="1" hidden="1" outlineLevel="1" x14ac:dyDescent="0.25">
      <c r="A48" s="19" t="s">
        <v>363</v>
      </c>
      <c r="B48" s="95">
        <f>Assumptions!$B$63</f>
        <v>1000000</v>
      </c>
      <c r="C48" s="63" t="s">
        <v>157</v>
      </c>
      <c r="D48" s="46" t="s">
        <v>162</v>
      </c>
    </row>
    <row r="49" spans="1:4" s="88" customFormat="1" ht="27" hidden="1" customHeight="1" outlineLevel="1" x14ac:dyDescent="0.25">
      <c r="A49" s="96" t="s">
        <v>364</v>
      </c>
      <c r="B49" s="97">
        <f>B47*B48</f>
        <v>25000000</v>
      </c>
      <c r="C49" s="63" t="s">
        <v>10</v>
      </c>
      <c r="D49" s="105"/>
    </row>
    <row r="50" spans="1:4" s="88" customFormat="1" hidden="1" outlineLevel="1" x14ac:dyDescent="0.25">
      <c r="A50" s="19" t="s">
        <v>365</v>
      </c>
      <c r="B50" s="89">
        <f>Assumptions!$B$64</f>
        <v>10000000</v>
      </c>
      <c r="C50" s="63" t="s">
        <v>10</v>
      </c>
      <c r="D50" s="46" t="s">
        <v>164</v>
      </c>
    </row>
    <row r="51" spans="1:4" s="88" customFormat="1" hidden="1" outlineLevel="1" x14ac:dyDescent="0.25">
      <c r="A51" s="91" t="s">
        <v>366</v>
      </c>
      <c r="B51" s="92">
        <f>B49+B50</f>
        <v>35000000</v>
      </c>
      <c r="C51" s="93" t="s">
        <v>10</v>
      </c>
      <c r="D51" s="93" t="s">
        <v>361</v>
      </c>
    </row>
    <row r="52" spans="1:4" s="88" customFormat="1" hidden="1" outlineLevel="1" x14ac:dyDescent="0.25">
      <c r="A52" s="19" t="s">
        <v>367</v>
      </c>
      <c r="B52" s="89">
        <f>Assumptions!$B$65</f>
        <v>8000000</v>
      </c>
      <c r="C52" s="63" t="s">
        <v>10</v>
      </c>
      <c r="D52" s="46" t="s">
        <v>146</v>
      </c>
    </row>
    <row r="53" spans="1:4" s="88" customFormat="1" hidden="1" outlineLevel="1" x14ac:dyDescent="0.25">
      <c r="A53" s="19" t="s">
        <v>368</v>
      </c>
      <c r="B53" s="89">
        <f>Assumptions!$B$66</f>
        <v>9000000</v>
      </c>
      <c r="C53" s="63" t="s">
        <v>10</v>
      </c>
      <c r="D53" s="46" t="s">
        <v>167</v>
      </c>
    </row>
    <row r="54" spans="1:4" s="88" customFormat="1" hidden="1" outlineLevel="1" x14ac:dyDescent="0.25">
      <c r="A54" s="19" t="s">
        <v>369</v>
      </c>
      <c r="B54" s="89">
        <f>Assumptions!$B$67</f>
        <v>3000000</v>
      </c>
      <c r="C54" s="63" t="s">
        <v>10</v>
      </c>
      <c r="D54" s="46" t="s">
        <v>169</v>
      </c>
    </row>
    <row r="55" spans="1:4" s="88" customFormat="1" hidden="1" outlineLevel="1" x14ac:dyDescent="0.25">
      <c r="A55" s="91" t="s">
        <v>370</v>
      </c>
      <c r="B55" s="92">
        <f>B52+B53+B54</f>
        <v>20000000</v>
      </c>
      <c r="C55" s="93" t="s">
        <v>10</v>
      </c>
      <c r="D55" s="93" t="s">
        <v>361</v>
      </c>
    </row>
    <row r="56" spans="1:4" s="88" customFormat="1" hidden="1" outlineLevel="1" x14ac:dyDescent="0.25">
      <c r="A56" s="19" t="s">
        <v>371</v>
      </c>
      <c r="B56" s="89">
        <f>Assumptions!$B$68</f>
        <v>9000000</v>
      </c>
      <c r="C56" s="63" t="s">
        <v>10</v>
      </c>
      <c r="D56" s="46" t="s">
        <v>171</v>
      </c>
    </row>
    <row r="57" spans="1:4" s="88" customFormat="1" hidden="1" outlineLevel="1" x14ac:dyDescent="0.25">
      <c r="A57" s="19" t="s">
        <v>372</v>
      </c>
      <c r="B57" s="89">
        <f>Assumptions!$B$69</f>
        <v>6000000</v>
      </c>
      <c r="C57" s="63" t="s">
        <v>10</v>
      </c>
      <c r="D57" s="46" t="s">
        <v>146</v>
      </c>
    </row>
    <row r="58" spans="1:4" s="88" customFormat="1" hidden="1" outlineLevel="1" x14ac:dyDescent="0.25">
      <c r="A58" s="91" t="s">
        <v>373</v>
      </c>
      <c r="B58" s="92">
        <f>B56+B57</f>
        <v>15000000</v>
      </c>
      <c r="C58" s="93" t="s">
        <v>10</v>
      </c>
      <c r="D58" s="93" t="s">
        <v>361</v>
      </c>
    </row>
    <row r="59" spans="1:4" s="88" customFormat="1" x14ac:dyDescent="0.25">
      <c r="A59" s="101" t="s">
        <v>374</v>
      </c>
      <c r="B59" s="102">
        <f>B46+B51+B55+B58</f>
        <v>90000000</v>
      </c>
      <c r="C59" s="103" t="s">
        <v>10</v>
      </c>
      <c r="D59" s="103" t="s">
        <v>375</v>
      </c>
    </row>
    <row r="60" spans="1:4" s="88" customFormat="1" x14ac:dyDescent="0.25">
      <c r="A60" s="14"/>
    </row>
    <row r="61" spans="1:4" s="88" customFormat="1" x14ac:dyDescent="0.25">
      <c r="A61" s="261" t="s">
        <v>376</v>
      </c>
      <c r="B61" s="261"/>
      <c r="C61" s="261"/>
      <c r="D61" s="261"/>
    </row>
    <row r="62" spans="1:4" s="88" customFormat="1" ht="94.5" hidden="1" customHeight="1" outlineLevel="1" x14ac:dyDescent="0.25">
      <c r="A62" s="19" t="s">
        <v>377</v>
      </c>
      <c r="B62" s="89">
        <f>Assumptions!$B$70</f>
        <v>8000000</v>
      </c>
      <c r="C62" s="63" t="s">
        <v>10</v>
      </c>
      <c r="D62" s="46" t="s">
        <v>378</v>
      </c>
    </row>
    <row r="63" spans="1:4" s="88" customFormat="1" ht="94.5" hidden="1" customHeight="1" outlineLevel="1" x14ac:dyDescent="0.25">
      <c r="A63" s="19" t="s">
        <v>379</v>
      </c>
      <c r="B63" s="89">
        <f>Assumptions!$B$71</f>
        <v>8000000</v>
      </c>
      <c r="C63" s="63" t="s">
        <v>10</v>
      </c>
      <c r="D63" s="46" t="s">
        <v>380</v>
      </c>
    </row>
    <row r="64" spans="1:4" s="88" customFormat="1" ht="54" hidden="1" customHeight="1" outlineLevel="1" x14ac:dyDescent="0.25">
      <c r="A64" s="19" t="s">
        <v>381</v>
      </c>
      <c r="B64" s="89">
        <f>Assumptions!$B$72</f>
        <v>4000000</v>
      </c>
      <c r="C64" s="63" t="s">
        <v>10</v>
      </c>
      <c r="D64" s="46" t="s">
        <v>382</v>
      </c>
    </row>
    <row r="65" spans="1:4" s="88" customFormat="1" hidden="1" outlineLevel="1" x14ac:dyDescent="0.25">
      <c r="A65" s="91" t="s">
        <v>383</v>
      </c>
      <c r="B65" s="92">
        <f>B62+B63+B64</f>
        <v>20000000</v>
      </c>
      <c r="C65" s="93" t="s">
        <v>10</v>
      </c>
      <c r="D65" s="93" t="s">
        <v>384</v>
      </c>
    </row>
    <row r="66" spans="1:4" s="88" customFormat="1" hidden="1" outlineLevel="1" x14ac:dyDescent="0.25">
      <c r="A66" s="19" t="s">
        <v>385</v>
      </c>
      <c r="B66" s="89">
        <f>Assumptions!$B$73</f>
        <v>14000000</v>
      </c>
      <c r="C66" s="63" t="s">
        <v>10</v>
      </c>
      <c r="D66" s="46" t="s">
        <v>179</v>
      </c>
    </row>
    <row r="67" spans="1:4" s="88" customFormat="1" hidden="1" outlineLevel="1" x14ac:dyDescent="0.25">
      <c r="A67" s="19" t="s">
        <v>386</v>
      </c>
      <c r="B67" s="89">
        <f>Assumptions!$B$74</f>
        <v>6000000</v>
      </c>
      <c r="C67" s="63" t="s">
        <v>10</v>
      </c>
      <c r="D67" s="46" t="s">
        <v>181</v>
      </c>
    </row>
    <row r="68" spans="1:4" s="88" customFormat="1" hidden="1" outlineLevel="1" x14ac:dyDescent="0.25">
      <c r="A68" s="91" t="s">
        <v>387</v>
      </c>
      <c r="B68" s="92">
        <f>B66+B67</f>
        <v>20000000</v>
      </c>
      <c r="C68" s="93" t="s">
        <v>10</v>
      </c>
      <c r="D68" s="93" t="s">
        <v>384</v>
      </c>
    </row>
    <row r="69" spans="1:4" s="88" customFormat="1" ht="40.5" hidden="1" customHeight="1" outlineLevel="1" x14ac:dyDescent="0.25">
      <c r="A69" s="19" t="s">
        <v>388</v>
      </c>
      <c r="B69" s="89">
        <f>Assumptions!$B$75</f>
        <v>7000000</v>
      </c>
      <c r="C69" s="63" t="s">
        <v>10</v>
      </c>
      <c r="D69" s="46" t="s">
        <v>389</v>
      </c>
    </row>
    <row r="70" spans="1:4" s="88" customFormat="1" ht="67.5" hidden="1" customHeight="1" outlineLevel="1" x14ac:dyDescent="0.25">
      <c r="A70" s="19" t="s">
        <v>390</v>
      </c>
      <c r="B70" s="89">
        <f>Assumptions!$B$76</f>
        <v>3000000</v>
      </c>
      <c r="C70" s="63" t="s">
        <v>10</v>
      </c>
      <c r="D70" s="46" t="s">
        <v>391</v>
      </c>
    </row>
    <row r="71" spans="1:4" s="88" customFormat="1" hidden="1" outlineLevel="1" x14ac:dyDescent="0.25">
      <c r="A71" s="91" t="s">
        <v>392</v>
      </c>
      <c r="B71" s="92">
        <f>B69+B70</f>
        <v>10000000</v>
      </c>
      <c r="C71" s="93" t="s">
        <v>10</v>
      </c>
      <c r="D71" s="93" t="s">
        <v>384</v>
      </c>
    </row>
    <row r="72" spans="1:4" s="88" customFormat="1" x14ac:dyDescent="0.25">
      <c r="A72" s="101" t="s">
        <v>393</v>
      </c>
      <c r="B72" s="102">
        <f>B65+B68+B71</f>
        <v>50000000</v>
      </c>
      <c r="C72" s="103" t="s">
        <v>10</v>
      </c>
      <c r="D72" s="103" t="s">
        <v>394</v>
      </c>
    </row>
  </sheetData>
  <mergeCells count="4">
    <mergeCell ref="A5:D5"/>
    <mergeCell ref="A20:D20"/>
    <mergeCell ref="A42:D42"/>
    <mergeCell ref="A61:D6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zoomScale="90" zoomScaleNormal="90" workbookViewId="0">
      <selection activeCell="E5" sqref="E5"/>
    </sheetView>
  </sheetViews>
  <sheetFormatPr baseColWidth="10" defaultColWidth="8.7109375" defaultRowHeight="13.5" x14ac:dyDescent="0.25"/>
  <cols>
    <col min="1" max="16384" width="8.7109375" style="6"/>
  </cols>
  <sheetData>
    <row r="1" spans="1:1" ht="21" customHeight="1" x14ac:dyDescent="0.35">
      <c r="A1" s="106" t="s">
        <v>395</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59"/>
  <sheetViews>
    <sheetView showGridLines="0" zoomScale="90" zoomScaleNormal="90" workbookViewId="0">
      <pane xSplit="1" ySplit="5" topLeftCell="B28" activePane="bottomRight" state="frozen"/>
      <selection pane="topRight" activeCell="B1" sqref="B1"/>
      <selection pane="bottomLeft" activeCell="A28" sqref="A28"/>
      <selection pane="bottomRight" activeCell="C38" sqref="C38"/>
    </sheetView>
  </sheetViews>
  <sheetFormatPr baseColWidth="10" defaultColWidth="34" defaultRowHeight="13.5" x14ac:dyDescent="0.25"/>
  <cols>
    <col min="1" max="1" width="34" style="85"/>
    <col min="2" max="2" width="14.7109375" style="6" customWidth="1"/>
    <col min="3" max="17" width="24.85546875" style="6" customWidth="1"/>
    <col min="18" max="18" width="96" style="6" customWidth="1"/>
    <col min="19" max="16384" width="34" style="6"/>
  </cols>
  <sheetData>
    <row r="1" spans="1:19" ht="21" customHeight="1" x14ac:dyDescent="0.35">
      <c r="A1" s="107" t="s">
        <v>396</v>
      </c>
      <c r="B1" s="11"/>
      <c r="C1" s="11"/>
      <c r="D1" s="11"/>
      <c r="E1" s="11"/>
      <c r="F1" s="11"/>
      <c r="G1" s="11"/>
      <c r="H1" s="11"/>
      <c r="I1" s="11"/>
      <c r="J1" s="11"/>
      <c r="K1" s="11"/>
      <c r="L1" s="11"/>
      <c r="M1" s="11"/>
      <c r="N1" s="11"/>
      <c r="O1" s="11"/>
      <c r="P1" s="11"/>
      <c r="Q1" s="11"/>
      <c r="R1" s="11"/>
      <c r="S1" s="11"/>
    </row>
    <row r="2" spans="1:19" ht="13.5" customHeight="1" x14ac:dyDescent="0.25">
      <c r="A2" s="9" t="s">
        <v>397</v>
      </c>
      <c r="B2" s="11"/>
      <c r="C2" s="11"/>
      <c r="D2" s="11"/>
      <c r="E2" s="11"/>
      <c r="F2" s="11"/>
      <c r="G2" s="11"/>
      <c r="H2" s="11"/>
      <c r="I2" s="11"/>
      <c r="J2" s="11"/>
      <c r="K2" s="11"/>
      <c r="L2" s="11"/>
      <c r="M2" s="11"/>
      <c r="N2" s="11"/>
      <c r="O2" s="11"/>
      <c r="P2" s="11"/>
      <c r="Q2" s="11"/>
      <c r="R2" s="11"/>
      <c r="S2" s="11"/>
    </row>
    <row r="3" spans="1:19" ht="54" customHeight="1" x14ac:dyDescent="0.25">
      <c r="A3" s="262" t="s">
        <v>398</v>
      </c>
      <c r="B3" s="262"/>
      <c r="C3" s="262"/>
      <c r="D3" s="262"/>
      <c r="E3" s="262"/>
      <c r="F3" s="262"/>
      <c r="G3" s="262"/>
      <c r="H3" s="262"/>
      <c r="I3" s="262"/>
      <c r="J3" s="262"/>
      <c r="K3" s="262"/>
      <c r="L3" s="262"/>
      <c r="M3" s="262"/>
      <c r="N3" s="262"/>
      <c r="O3" s="262"/>
      <c r="P3" s="262"/>
      <c r="Q3" s="262"/>
      <c r="R3" s="262"/>
      <c r="S3" s="11"/>
    </row>
    <row r="4" spans="1:19" ht="13.5" customHeight="1" x14ac:dyDescent="0.25">
      <c r="A4" s="108"/>
      <c r="B4" s="109"/>
      <c r="C4" s="109"/>
      <c r="D4" s="109"/>
      <c r="E4" s="109"/>
      <c r="F4" s="109"/>
      <c r="G4" s="109"/>
      <c r="H4" s="109"/>
      <c r="I4" s="109"/>
      <c r="J4" s="109"/>
      <c r="K4" s="109"/>
      <c r="L4" s="109"/>
      <c r="M4" s="109"/>
      <c r="N4" s="109"/>
      <c r="O4" s="109"/>
      <c r="P4" s="109"/>
      <c r="Q4" s="109"/>
      <c r="R4" s="109"/>
      <c r="S4" s="109"/>
    </row>
    <row r="5" spans="1:19" ht="13.5" customHeight="1" x14ac:dyDescent="0.25">
      <c r="A5" s="110" t="s">
        <v>196</v>
      </c>
      <c r="B5" s="111" t="s">
        <v>399</v>
      </c>
      <c r="C5" s="111" t="s">
        <v>400</v>
      </c>
      <c r="D5" s="111" t="s">
        <v>401</v>
      </c>
      <c r="E5" s="111" t="s">
        <v>402</v>
      </c>
      <c r="F5" s="111" t="s">
        <v>403</v>
      </c>
      <c r="G5" s="111" t="s">
        <v>404</v>
      </c>
      <c r="H5" s="111" t="s">
        <v>405</v>
      </c>
      <c r="I5" s="111" t="s">
        <v>406</v>
      </c>
      <c r="J5" s="111" t="s">
        <v>407</v>
      </c>
      <c r="K5" s="111" t="s">
        <v>408</v>
      </c>
      <c r="L5" s="111" t="s">
        <v>409</v>
      </c>
      <c r="M5" s="111" t="s">
        <v>410</v>
      </c>
      <c r="N5" s="111" t="s">
        <v>411</v>
      </c>
      <c r="O5" s="111" t="s">
        <v>412</v>
      </c>
      <c r="P5" s="111" t="s">
        <v>413</v>
      </c>
      <c r="Q5" s="111" t="s">
        <v>414</v>
      </c>
      <c r="R5" s="112"/>
      <c r="S5" s="109"/>
    </row>
    <row r="6" spans="1:19" s="88" customFormat="1" ht="16.5" customHeight="1" x14ac:dyDescent="0.25">
      <c r="A6" s="113" t="s">
        <v>415</v>
      </c>
      <c r="B6" s="114"/>
      <c r="C6" s="115">
        <v>1</v>
      </c>
      <c r="D6" s="115">
        <v>1</v>
      </c>
      <c r="E6" s="115">
        <v>1</v>
      </c>
      <c r="F6" s="115">
        <v>1</v>
      </c>
      <c r="G6" s="115">
        <v>1</v>
      </c>
      <c r="H6" s="115">
        <v>1</v>
      </c>
      <c r="I6" s="115">
        <v>1</v>
      </c>
      <c r="J6" s="115">
        <v>1</v>
      </c>
      <c r="K6" s="115">
        <v>1</v>
      </c>
      <c r="L6" s="115">
        <v>1</v>
      </c>
      <c r="M6" s="115">
        <v>1</v>
      </c>
      <c r="N6" s="115">
        <v>1</v>
      </c>
      <c r="O6" s="115">
        <v>1</v>
      </c>
      <c r="P6" s="115">
        <v>1</v>
      </c>
      <c r="Q6" s="115">
        <v>1</v>
      </c>
      <c r="R6" s="116"/>
      <c r="S6" s="117"/>
    </row>
    <row r="7" spans="1:19" s="88" customFormat="1" ht="16.5" customHeight="1" x14ac:dyDescent="0.25">
      <c r="A7" s="113" t="s">
        <v>200</v>
      </c>
      <c r="B7" s="118"/>
      <c r="C7" s="119">
        <f t="shared" ref="C7:Q7" si="0">Toneladas_Procesadas*C6</f>
        <v>10000000</v>
      </c>
      <c r="D7" s="119">
        <f t="shared" si="0"/>
        <v>10000000</v>
      </c>
      <c r="E7" s="119">
        <f t="shared" si="0"/>
        <v>10000000</v>
      </c>
      <c r="F7" s="119">
        <f t="shared" si="0"/>
        <v>10000000</v>
      </c>
      <c r="G7" s="119">
        <f t="shared" si="0"/>
        <v>10000000</v>
      </c>
      <c r="H7" s="119">
        <f t="shared" si="0"/>
        <v>10000000</v>
      </c>
      <c r="I7" s="119">
        <f t="shared" si="0"/>
        <v>10000000</v>
      </c>
      <c r="J7" s="119">
        <f t="shared" si="0"/>
        <v>10000000</v>
      </c>
      <c r="K7" s="119">
        <f t="shared" si="0"/>
        <v>10000000</v>
      </c>
      <c r="L7" s="119">
        <f t="shared" si="0"/>
        <v>10000000</v>
      </c>
      <c r="M7" s="119">
        <f t="shared" si="0"/>
        <v>10000000</v>
      </c>
      <c r="N7" s="119">
        <f t="shared" si="0"/>
        <v>10000000</v>
      </c>
      <c r="O7" s="119">
        <f t="shared" si="0"/>
        <v>10000000</v>
      </c>
      <c r="P7" s="119">
        <f t="shared" si="0"/>
        <v>10000000</v>
      </c>
      <c r="Q7" s="119">
        <f t="shared" si="0"/>
        <v>10000000</v>
      </c>
      <c r="R7" s="116"/>
      <c r="S7" s="117"/>
    </row>
    <row r="8" spans="1:19" s="88" customFormat="1" ht="16.5" customHeight="1" x14ac:dyDescent="0.25">
      <c r="A8" s="120" t="s">
        <v>201</v>
      </c>
      <c r="B8" s="121"/>
      <c r="C8" s="122">
        <f t="shared" ref="C8:Q8" si="1">Ley_Cobre</f>
        <v>5.4999999999999997E-3</v>
      </c>
      <c r="D8" s="122">
        <f t="shared" si="1"/>
        <v>5.4999999999999997E-3</v>
      </c>
      <c r="E8" s="122">
        <f t="shared" si="1"/>
        <v>5.4999999999999997E-3</v>
      </c>
      <c r="F8" s="122">
        <f t="shared" si="1"/>
        <v>5.4999999999999997E-3</v>
      </c>
      <c r="G8" s="122">
        <f t="shared" si="1"/>
        <v>5.4999999999999997E-3</v>
      </c>
      <c r="H8" s="122">
        <f t="shared" si="1"/>
        <v>5.4999999999999997E-3</v>
      </c>
      <c r="I8" s="122">
        <f t="shared" si="1"/>
        <v>5.4999999999999997E-3</v>
      </c>
      <c r="J8" s="122">
        <f t="shared" si="1"/>
        <v>5.4999999999999997E-3</v>
      </c>
      <c r="K8" s="122">
        <f t="shared" si="1"/>
        <v>5.4999999999999997E-3</v>
      </c>
      <c r="L8" s="122">
        <f t="shared" si="1"/>
        <v>5.4999999999999997E-3</v>
      </c>
      <c r="M8" s="122">
        <f t="shared" si="1"/>
        <v>5.4999999999999997E-3</v>
      </c>
      <c r="N8" s="122">
        <f t="shared" si="1"/>
        <v>5.4999999999999997E-3</v>
      </c>
      <c r="O8" s="122">
        <f t="shared" si="1"/>
        <v>5.4999999999999997E-3</v>
      </c>
      <c r="P8" s="122">
        <f t="shared" si="1"/>
        <v>5.4999999999999997E-3</v>
      </c>
      <c r="Q8" s="122">
        <f t="shared" si="1"/>
        <v>5.4999999999999997E-3</v>
      </c>
      <c r="R8" s="116"/>
      <c r="S8" s="117"/>
    </row>
    <row r="9" spans="1:19" s="88" customFormat="1" ht="16.5" customHeight="1" x14ac:dyDescent="0.25">
      <c r="A9" s="123" t="s">
        <v>416</v>
      </c>
      <c r="B9" s="121"/>
      <c r="C9" s="124">
        <f t="shared" ref="C9:Q9" si="2">C7*C8</f>
        <v>55000</v>
      </c>
      <c r="D9" s="124">
        <f t="shared" si="2"/>
        <v>55000</v>
      </c>
      <c r="E9" s="124">
        <f t="shared" si="2"/>
        <v>55000</v>
      </c>
      <c r="F9" s="124">
        <f t="shared" si="2"/>
        <v>55000</v>
      </c>
      <c r="G9" s="124">
        <f t="shared" si="2"/>
        <v>55000</v>
      </c>
      <c r="H9" s="124">
        <f t="shared" si="2"/>
        <v>55000</v>
      </c>
      <c r="I9" s="124">
        <f t="shared" si="2"/>
        <v>55000</v>
      </c>
      <c r="J9" s="124">
        <f t="shared" si="2"/>
        <v>55000</v>
      </c>
      <c r="K9" s="124">
        <f t="shared" si="2"/>
        <v>55000</v>
      </c>
      <c r="L9" s="124">
        <f t="shared" si="2"/>
        <v>55000</v>
      </c>
      <c r="M9" s="124">
        <f t="shared" si="2"/>
        <v>55000</v>
      </c>
      <c r="N9" s="124">
        <f t="shared" si="2"/>
        <v>55000</v>
      </c>
      <c r="O9" s="124">
        <f t="shared" si="2"/>
        <v>55000</v>
      </c>
      <c r="P9" s="124">
        <f t="shared" si="2"/>
        <v>55000</v>
      </c>
      <c r="Q9" s="124">
        <f t="shared" si="2"/>
        <v>55000</v>
      </c>
      <c r="R9" s="116"/>
      <c r="S9" s="117"/>
    </row>
    <row r="10" spans="1:19" s="88" customFormat="1" ht="16.5" customHeight="1" x14ac:dyDescent="0.25">
      <c r="A10" s="123" t="s">
        <v>205</v>
      </c>
      <c r="B10" s="121"/>
      <c r="C10" s="125">
        <f t="shared" ref="C10:Q10" si="3">Recuperacion_Metalurgica</f>
        <v>0.88</v>
      </c>
      <c r="D10" s="125">
        <f t="shared" si="3"/>
        <v>0.88</v>
      </c>
      <c r="E10" s="125">
        <f t="shared" si="3"/>
        <v>0.88</v>
      </c>
      <c r="F10" s="125">
        <f t="shared" si="3"/>
        <v>0.88</v>
      </c>
      <c r="G10" s="125">
        <f t="shared" si="3"/>
        <v>0.88</v>
      </c>
      <c r="H10" s="125">
        <f t="shared" si="3"/>
        <v>0.88</v>
      </c>
      <c r="I10" s="125">
        <f t="shared" si="3"/>
        <v>0.88</v>
      </c>
      <c r="J10" s="125">
        <f t="shared" si="3"/>
        <v>0.88</v>
      </c>
      <c r="K10" s="125">
        <f t="shared" si="3"/>
        <v>0.88</v>
      </c>
      <c r="L10" s="125">
        <f t="shared" si="3"/>
        <v>0.88</v>
      </c>
      <c r="M10" s="125">
        <f t="shared" si="3"/>
        <v>0.88</v>
      </c>
      <c r="N10" s="125">
        <f t="shared" si="3"/>
        <v>0.88</v>
      </c>
      <c r="O10" s="125">
        <f t="shared" si="3"/>
        <v>0.88</v>
      </c>
      <c r="P10" s="125">
        <f t="shared" si="3"/>
        <v>0.88</v>
      </c>
      <c r="Q10" s="125">
        <f t="shared" si="3"/>
        <v>0.88</v>
      </c>
      <c r="R10" s="116"/>
      <c r="S10" s="117"/>
    </row>
    <row r="11" spans="1:19" s="88" customFormat="1" ht="16.5" customHeight="1" x14ac:dyDescent="0.25">
      <c r="A11" s="123" t="s">
        <v>417</v>
      </c>
      <c r="B11" s="121"/>
      <c r="C11" s="124">
        <f t="shared" ref="C11:Q11" si="4">C9*C10</f>
        <v>48400</v>
      </c>
      <c r="D11" s="124">
        <f t="shared" si="4"/>
        <v>48400</v>
      </c>
      <c r="E11" s="124">
        <f t="shared" si="4"/>
        <v>48400</v>
      </c>
      <c r="F11" s="124">
        <f t="shared" si="4"/>
        <v>48400</v>
      </c>
      <c r="G11" s="124">
        <f t="shared" si="4"/>
        <v>48400</v>
      </c>
      <c r="H11" s="124">
        <f t="shared" si="4"/>
        <v>48400</v>
      </c>
      <c r="I11" s="124">
        <f t="shared" si="4"/>
        <v>48400</v>
      </c>
      <c r="J11" s="124">
        <f t="shared" si="4"/>
        <v>48400</v>
      </c>
      <c r="K11" s="124">
        <f t="shared" si="4"/>
        <v>48400</v>
      </c>
      <c r="L11" s="124">
        <f t="shared" si="4"/>
        <v>48400</v>
      </c>
      <c r="M11" s="124">
        <f t="shared" si="4"/>
        <v>48400</v>
      </c>
      <c r="N11" s="124">
        <f t="shared" si="4"/>
        <v>48400</v>
      </c>
      <c r="O11" s="124">
        <f t="shared" si="4"/>
        <v>48400</v>
      </c>
      <c r="P11" s="124">
        <f t="shared" si="4"/>
        <v>48400</v>
      </c>
      <c r="Q11" s="124">
        <f t="shared" si="4"/>
        <v>48400</v>
      </c>
      <c r="R11" s="116"/>
      <c r="S11" s="117"/>
    </row>
    <row r="12" spans="1:19" s="88" customFormat="1" ht="16.5" customHeight="1" x14ac:dyDescent="0.25">
      <c r="A12" s="123" t="s">
        <v>56</v>
      </c>
      <c r="B12" s="121"/>
      <c r="C12" s="125">
        <f t="shared" ref="C12:Q12" si="5">Payability</f>
        <v>0.96499999999999997</v>
      </c>
      <c r="D12" s="125">
        <f t="shared" si="5"/>
        <v>0.96499999999999997</v>
      </c>
      <c r="E12" s="125">
        <f t="shared" si="5"/>
        <v>0.96499999999999997</v>
      </c>
      <c r="F12" s="125">
        <f t="shared" si="5"/>
        <v>0.96499999999999997</v>
      </c>
      <c r="G12" s="125">
        <f t="shared" si="5"/>
        <v>0.96499999999999997</v>
      </c>
      <c r="H12" s="125">
        <f t="shared" si="5"/>
        <v>0.96499999999999997</v>
      </c>
      <c r="I12" s="125">
        <f t="shared" si="5"/>
        <v>0.96499999999999997</v>
      </c>
      <c r="J12" s="125">
        <f t="shared" si="5"/>
        <v>0.96499999999999997</v>
      </c>
      <c r="K12" s="125">
        <f t="shared" si="5"/>
        <v>0.96499999999999997</v>
      </c>
      <c r="L12" s="125">
        <f t="shared" si="5"/>
        <v>0.96499999999999997</v>
      </c>
      <c r="M12" s="125">
        <f t="shared" si="5"/>
        <v>0.96499999999999997</v>
      </c>
      <c r="N12" s="125">
        <f t="shared" si="5"/>
        <v>0.96499999999999997</v>
      </c>
      <c r="O12" s="125">
        <f t="shared" si="5"/>
        <v>0.96499999999999997</v>
      </c>
      <c r="P12" s="125">
        <f t="shared" si="5"/>
        <v>0.96499999999999997</v>
      </c>
      <c r="Q12" s="125">
        <f t="shared" si="5"/>
        <v>0.96499999999999997</v>
      </c>
      <c r="R12" s="116"/>
      <c r="S12" s="117"/>
    </row>
    <row r="13" spans="1:19" s="88" customFormat="1" ht="16.5" customHeight="1" x14ac:dyDescent="0.25">
      <c r="A13" s="123" t="s">
        <v>267</v>
      </c>
      <c r="B13" s="126"/>
      <c r="C13" s="124">
        <f t="shared" ref="C13:Q13" si="6">C11*C12</f>
        <v>46706</v>
      </c>
      <c r="D13" s="124">
        <f t="shared" si="6"/>
        <v>46706</v>
      </c>
      <c r="E13" s="124">
        <f t="shared" si="6"/>
        <v>46706</v>
      </c>
      <c r="F13" s="124">
        <f t="shared" si="6"/>
        <v>46706</v>
      </c>
      <c r="G13" s="124">
        <f t="shared" si="6"/>
        <v>46706</v>
      </c>
      <c r="H13" s="124">
        <f t="shared" si="6"/>
        <v>46706</v>
      </c>
      <c r="I13" s="124">
        <f t="shared" si="6"/>
        <v>46706</v>
      </c>
      <c r="J13" s="124">
        <f t="shared" si="6"/>
        <v>46706</v>
      </c>
      <c r="K13" s="124">
        <f t="shared" si="6"/>
        <v>46706</v>
      </c>
      <c r="L13" s="124">
        <f t="shared" si="6"/>
        <v>46706</v>
      </c>
      <c r="M13" s="124">
        <f t="shared" si="6"/>
        <v>46706</v>
      </c>
      <c r="N13" s="124">
        <f t="shared" si="6"/>
        <v>46706</v>
      </c>
      <c r="O13" s="124">
        <f t="shared" si="6"/>
        <v>46706</v>
      </c>
      <c r="P13" s="124">
        <f t="shared" si="6"/>
        <v>46706</v>
      </c>
      <c r="Q13" s="124">
        <f t="shared" si="6"/>
        <v>46706</v>
      </c>
      <c r="R13" s="116"/>
      <c r="S13" s="117"/>
    </row>
    <row r="14" spans="1:19" s="88" customFormat="1" ht="16.5" customHeight="1" x14ac:dyDescent="0.25">
      <c r="A14" s="123" t="s">
        <v>269</v>
      </c>
      <c r="B14" s="121"/>
      <c r="C14" s="124">
        <f t="shared" ref="C14:Q14" si="7">C13*Factor_Conversion_TnLb</f>
        <v>102968981.72</v>
      </c>
      <c r="D14" s="124">
        <f t="shared" si="7"/>
        <v>102968981.72</v>
      </c>
      <c r="E14" s="124">
        <f t="shared" si="7"/>
        <v>102968981.72</v>
      </c>
      <c r="F14" s="124">
        <f t="shared" si="7"/>
        <v>102968981.72</v>
      </c>
      <c r="G14" s="124">
        <f t="shared" si="7"/>
        <v>102968981.72</v>
      </c>
      <c r="H14" s="124">
        <f t="shared" si="7"/>
        <v>102968981.72</v>
      </c>
      <c r="I14" s="124">
        <f t="shared" si="7"/>
        <v>102968981.72</v>
      </c>
      <c r="J14" s="124">
        <f t="shared" si="7"/>
        <v>102968981.72</v>
      </c>
      <c r="K14" s="124">
        <f t="shared" si="7"/>
        <v>102968981.72</v>
      </c>
      <c r="L14" s="124">
        <f t="shared" si="7"/>
        <v>102968981.72</v>
      </c>
      <c r="M14" s="124">
        <f t="shared" si="7"/>
        <v>102968981.72</v>
      </c>
      <c r="N14" s="124">
        <f t="shared" si="7"/>
        <v>102968981.72</v>
      </c>
      <c r="O14" s="124">
        <f t="shared" si="7"/>
        <v>102968981.72</v>
      </c>
      <c r="P14" s="124">
        <f t="shared" si="7"/>
        <v>102968981.72</v>
      </c>
      <c r="Q14" s="124">
        <f t="shared" si="7"/>
        <v>102968981.72</v>
      </c>
      <c r="R14" s="116"/>
      <c r="S14" s="117"/>
    </row>
    <row r="15" spans="1:19" s="88" customFormat="1" ht="16.5" customHeight="1" x14ac:dyDescent="0.25">
      <c r="A15" s="123" t="s">
        <v>227</v>
      </c>
      <c r="B15" s="126"/>
      <c r="C15" s="127">
        <f t="shared" ref="C15:Q15" si="8">Precio_Cobre</f>
        <v>4.2</v>
      </c>
      <c r="D15" s="127">
        <f t="shared" si="8"/>
        <v>4.2</v>
      </c>
      <c r="E15" s="127">
        <f t="shared" si="8"/>
        <v>4.2</v>
      </c>
      <c r="F15" s="127">
        <f t="shared" si="8"/>
        <v>4.2</v>
      </c>
      <c r="G15" s="127">
        <f t="shared" si="8"/>
        <v>4.2</v>
      </c>
      <c r="H15" s="127">
        <f t="shared" si="8"/>
        <v>4.2</v>
      </c>
      <c r="I15" s="127">
        <f t="shared" si="8"/>
        <v>4.2</v>
      </c>
      <c r="J15" s="127">
        <f t="shared" si="8"/>
        <v>4.2</v>
      </c>
      <c r="K15" s="127">
        <f t="shared" si="8"/>
        <v>4.2</v>
      </c>
      <c r="L15" s="127">
        <f t="shared" si="8"/>
        <v>4.2</v>
      </c>
      <c r="M15" s="127">
        <f t="shared" si="8"/>
        <v>4.2</v>
      </c>
      <c r="N15" s="127">
        <f t="shared" si="8"/>
        <v>4.2</v>
      </c>
      <c r="O15" s="127">
        <f t="shared" si="8"/>
        <v>4.2</v>
      </c>
      <c r="P15" s="127">
        <f t="shared" si="8"/>
        <v>4.2</v>
      </c>
      <c r="Q15" s="127">
        <f t="shared" si="8"/>
        <v>4.2</v>
      </c>
      <c r="R15" s="116"/>
      <c r="S15" s="117"/>
    </row>
    <row r="16" spans="1:19" s="88" customFormat="1" ht="16.5" customHeight="1" x14ac:dyDescent="0.25">
      <c r="A16" s="123" t="s">
        <v>228</v>
      </c>
      <c r="B16" s="126"/>
      <c r="C16" s="128">
        <f t="shared" ref="C16:Q16" si="9">C14*C15</f>
        <v>432469723.22400004</v>
      </c>
      <c r="D16" s="128">
        <f t="shared" si="9"/>
        <v>432469723.22400004</v>
      </c>
      <c r="E16" s="128">
        <f t="shared" si="9"/>
        <v>432469723.22400004</v>
      </c>
      <c r="F16" s="128">
        <f t="shared" si="9"/>
        <v>432469723.22400004</v>
      </c>
      <c r="G16" s="128">
        <f t="shared" si="9"/>
        <v>432469723.22400004</v>
      </c>
      <c r="H16" s="128">
        <f t="shared" si="9"/>
        <v>432469723.22400004</v>
      </c>
      <c r="I16" s="128">
        <f t="shared" si="9"/>
        <v>432469723.22400004</v>
      </c>
      <c r="J16" s="128">
        <f t="shared" si="9"/>
        <v>432469723.22400004</v>
      </c>
      <c r="K16" s="128">
        <f t="shared" si="9"/>
        <v>432469723.22400004</v>
      </c>
      <c r="L16" s="128">
        <f t="shared" si="9"/>
        <v>432469723.22400004</v>
      </c>
      <c r="M16" s="128">
        <f t="shared" si="9"/>
        <v>432469723.22400004</v>
      </c>
      <c r="N16" s="128">
        <f t="shared" si="9"/>
        <v>432469723.22400004</v>
      </c>
      <c r="O16" s="128">
        <f t="shared" si="9"/>
        <v>432469723.22400004</v>
      </c>
      <c r="P16" s="128">
        <f t="shared" si="9"/>
        <v>432469723.22400004</v>
      </c>
      <c r="Q16" s="128">
        <f t="shared" si="9"/>
        <v>432469723.22400004</v>
      </c>
      <c r="R16" s="116"/>
      <c r="S16" s="117"/>
    </row>
    <row r="17" spans="1:19" ht="16.5" customHeight="1" x14ac:dyDescent="0.25">
      <c r="A17" s="129" t="s">
        <v>418</v>
      </c>
      <c r="B17" s="130"/>
      <c r="C17" s="131">
        <f t="shared" ref="C17:Q17" si="10">C11/Ley_Concentrado</f>
        <v>161333.33333333334</v>
      </c>
      <c r="D17" s="131">
        <f t="shared" si="10"/>
        <v>161333.33333333334</v>
      </c>
      <c r="E17" s="131">
        <f t="shared" si="10"/>
        <v>161333.33333333334</v>
      </c>
      <c r="F17" s="131">
        <f t="shared" si="10"/>
        <v>161333.33333333334</v>
      </c>
      <c r="G17" s="131">
        <f t="shared" si="10"/>
        <v>161333.33333333334</v>
      </c>
      <c r="H17" s="131">
        <f t="shared" si="10"/>
        <v>161333.33333333334</v>
      </c>
      <c r="I17" s="131">
        <f t="shared" si="10"/>
        <v>161333.33333333334</v>
      </c>
      <c r="J17" s="131">
        <f t="shared" si="10"/>
        <v>161333.33333333334</v>
      </c>
      <c r="K17" s="131">
        <f t="shared" si="10"/>
        <v>161333.33333333334</v>
      </c>
      <c r="L17" s="131">
        <f t="shared" si="10"/>
        <v>161333.33333333334</v>
      </c>
      <c r="M17" s="131">
        <f t="shared" si="10"/>
        <v>161333.33333333334</v>
      </c>
      <c r="N17" s="131">
        <f t="shared" si="10"/>
        <v>161333.33333333334</v>
      </c>
      <c r="O17" s="131">
        <f t="shared" si="10"/>
        <v>161333.33333333334</v>
      </c>
      <c r="P17" s="131">
        <f t="shared" si="10"/>
        <v>161333.33333333334</v>
      </c>
      <c r="Q17" s="131">
        <f t="shared" si="10"/>
        <v>161333.33333333334</v>
      </c>
      <c r="R17" s="109"/>
      <c r="S17" s="109"/>
    </row>
    <row r="18" spans="1:19" ht="16.5" customHeight="1" x14ac:dyDescent="0.25">
      <c r="A18" s="129" t="s">
        <v>419</v>
      </c>
      <c r="B18" s="130"/>
      <c r="C18" s="132">
        <f t="shared" ref="C18:Q18" si="11">-C17*TC_Unitario</f>
        <v>-12906666.666666668</v>
      </c>
      <c r="D18" s="132">
        <f t="shared" si="11"/>
        <v>-12906666.666666668</v>
      </c>
      <c r="E18" s="132">
        <f t="shared" si="11"/>
        <v>-12906666.666666668</v>
      </c>
      <c r="F18" s="132">
        <f t="shared" si="11"/>
        <v>-12906666.666666668</v>
      </c>
      <c r="G18" s="132">
        <f t="shared" si="11"/>
        <v>-12906666.666666668</v>
      </c>
      <c r="H18" s="132">
        <f t="shared" si="11"/>
        <v>-12906666.666666668</v>
      </c>
      <c r="I18" s="132">
        <f t="shared" si="11"/>
        <v>-12906666.666666668</v>
      </c>
      <c r="J18" s="132">
        <f t="shared" si="11"/>
        <v>-12906666.666666668</v>
      </c>
      <c r="K18" s="132">
        <f t="shared" si="11"/>
        <v>-12906666.666666668</v>
      </c>
      <c r="L18" s="132">
        <f t="shared" si="11"/>
        <v>-12906666.666666668</v>
      </c>
      <c r="M18" s="132">
        <f t="shared" si="11"/>
        <v>-12906666.666666668</v>
      </c>
      <c r="N18" s="132">
        <f t="shared" si="11"/>
        <v>-12906666.666666668</v>
      </c>
      <c r="O18" s="132">
        <f t="shared" si="11"/>
        <v>-12906666.666666668</v>
      </c>
      <c r="P18" s="132">
        <f t="shared" si="11"/>
        <v>-12906666.666666668</v>
      </c>
      <c r="Q18" s="132">
        <f t="shared" si="11"/>
        <v>-12906666.666666668</v>
      </c>
      <c r="R18" s="109"/>
      <c r="S18" s="109"/>
    </row>
    <row r="19" spans="1:19" ht="16.5" customHeight="1" x14ac:dyDescent="0.25">
      <c r="A19" s="129" t="s">
        <v>420</v>
      </c>
      <c r="B19" s="130"/>
      <c r="C19" s="132">
        <f t="shared" ref="C19:Q19" si="12">-C14*RC_Unitario</f>
        <v>-8237518.5376000004</v>
      </c>
      <c r="D19" s="132">
        <f t="shared" si="12"/>
        <v>-8237518.5376000004</v>
      </c>
      <c r="E19" s="132">
        <f t="shared" si="12"/>
        <v>-8237518.5376000004</v>
      </c>
      <c r="F19" s="132">
        <f t="shared" si="12"/>
        <v>-8237518.5376000004</v>
      </c>
      <c r="G19" s="132">
        <f t="shared" si="12"/>
        <v>-8237518.5376000004</v>
      </c>
      <c r="H19" s="132">
        <f t="shared" si="12"/>
        <v>-8237518.5376000004</v>
      </c>
      <c r="I19" s="132">
        <f t="shared" si="12"/>
        <v>-8237518.5376000004</v>
      </c>
      <c r="J19" s="132">
        <f t="shared" si="12"/>
        <v>-8237518.5376000004</v>
      </c>
      <c r="K19" s="132">
        <f t="shared" si="12"/>
        <v>-8237518.5376000004</v>
      </c>
      <c r="L19" s="132">
        <f t="shared" si="12"/>
        <v>-8237518.5376000004</v>
      </c>
      <c r="M19" s="132">
        <f t="shared" si="12"/>
        <v>-8237518.5376000004</v>
      </c>
      <c r="N19" s="132">
        <f t="shared" si="12"/>
        <v>-8237518.5376000004</v>
      </c>
      <c r="O19" s="132">
        <f t="shared" si="12"/>
        <v>-8237518.5376000004</v>
      </c>
      <c r="P19" s="132">
        <f t="shared" si="12"/>
        <v>-8237518.5376000004</v>
      </c>
      <c r="Q19" s="132">
        <f t="shared" si="12"/>
        <v>-8237518.5376000004</v>
      </c>
      <c r="R19" s="109"/>
      <c r="S19" s="109"/>
    </row>
    <row r="20" spans="1:19" ht="16.5" customHeight="1" x14ac:dyDescent="0.25">
      <c r="A20" s="133" t="s">
        <v>421</v>
      </c>
      <c r="B20" s="134"/>
      <c r="C20" s="135">
        <f t="shared" ref="C20:Q20" si="13">C16+C18+C19</f>
        <v>411325538.01973337</v>
      </c>
      <c r="D20" s="135">
        <f t="shared" si="13"/>
        <v>411325538.01973337</v>
      </c>
      <c r="E20" s="135">
        <f t="shared" si="13"/>
        <v>411325538.01973337</v>
      </c>
      <c r="F20" s="135">
        <f t="shared" si="13"/>
        <v>411325538.01973337</v>
      </c>
      <c r="G20" s="135">
        <f t="shared" si="13"/>
        <v>411325538.01973337</v>
      </c>
      <c r="H20" s="135">
        <f t="shared" si="13"/>
        <v>411325538.01973337</v>
      </c>
      <c r="I20" s="135">
        <f t="shared" si="13"/>
        <v>411325538.01973337</v>
      </c>
      <c r="J20" s="135">
        <f t="shared" si="13"/>
        <v>411325538.01973337</v>
      </c>
      <c r="K20" s="135">
        <f t="shared" si="13"/>
        <v>411325538.01973337</v>
      </c>
      <c r="L20" s="135">
        <f t="shared" si="13"/>
        <v>411325538.01973337</v>
      </c>
      <c r="M20" s="135">
        <f t="shared" si="13"/>
        <v>411325538.01973337</v>
      </c>
      <c r="N20" s="135">
        <f t="shared" si="13"/>
        <v>411325538.01973337</v>
      </c>
      <c r="O20" s="135">
        <f t="shared" si="13"/>
        <v>411325538.01973337</v>
      </c>
      <c r="P20" s="135">
        <f t="shared" si="13"/>
        <v>411325538.01973337</v>
      </c>
      <c r="Q20" s="135">
        <f t="shared" si="13"/>
        <v>411325538.01973337</v>
      </c>
      <c r="R20" s="109"/>
      <c r="S20" s="109"/>
    </row>
    <row r="21" spans="1:19" ht="16.5" customHeight="1" x14ac:dyDescent="0.25">
      <c r="A21" s="129" t="s">
        <v>422</v>
      </c>
      <c r="B21" s="130"/>
      <c r="C21" s="132">
        <f t="shared" ref="C21:Q21" si="14">-C7*Costo_Mina_Unitario</f>
        <v>-32000000</v>
      </c>
      <c r="D21" s="132">
        <f t="shared" si="14"/>
        <v>-32000000</v>
      </c>
      <c r="E21" s="132">
        <f t="shared" si="14"/>
        <v>-32000000</v>
      </c>
      <c r="F21" s="132">
        <f t="shared" si="14"/>
        <v>-32000000</v>
      </c>
      <c r="G21" s="132">
        <f t="shared" si="14"/>
        <v>-32000000</v>
      </c>
      <c r="H21" s="132">
        <f t="shared" si="14"/>
        <v>-32000000</v>
      </c>
      <c r="I21" s="132">
        <f t="shared" si="14"/>
        <v>-32000000</v>
      </c>
      <c r="J21" s="132">
        <f t="shared" si="14"/>
        <v>-32000000</v>
      </c>
      <c r="K21" s="132">
        <f t="shared" si="14"/>
        <v>-32000000</v>
      </c>
      <c r="L21" s="132">
        <f t="shared" si="14"/>
        <v>-32000000</v>
      </c>
      <c r="M21" s="132">
        <f t="shared" si="14"/>
        <v>-32000000</v>
      </c>
      <c r="N21" s="132">
        <f t="shared" si="14"/>
        <v>-32000000</v>
      </c>
      <c r="O21" s="132">
        <f t="shared" si="14"/>
        <v>-32000000</v>
      </c>
      <c r="P21" s="132">
        <f t="shared" si="14"/>
        <v>-32000000</v>
      </c>
      <c r="Q21" s="132">
        <f t="shared" si="14"/>
        <v>-32000000</v>
      </c>
      <c r="R21" s="109"/>
      <c r="S21" s="109"/>
    </row>
    <row r="22" spans="1:19" ht="16.5" customHeight="1" x14ac:dyDescent="0.25">
      <c r="A22" s="129" t="s">
        <v>423</v>
      </c>
      <c r="B22" s="130"/>
      <c r="C22" s="132">
        <f t="shared" ref="C22:Q22" si="15">-C7*Costo_Planta_Unitario</f>
        <v>-47000000</v>
      </c>
      <c r="D22" s="132">
        <f t="shared" si="15"/>
        <v>-47000000</v>
      </c>
      <c r="E22" s="132">
        <f t="shared" si="15"/>
        <v>-47000000</v>
      </c>
      <c r="F22" s="132">
        <f t="shared" si="15"/>
        <v>-47000000</v>
      </c>
      <c r="G22" s="132">
        <f t="shared" si="15"/>
        <v>-47000000</v>
      </c>
      <c r="H22" s="132">
        <f t="shared" si="15"/>
        <v>-47000000</v>
      </c>
      <c r="I22" s="132">
        <f t="shared" si="15"/>
        <v>-47000000</v>
      </c>
      <c r="J22" s="132">
        <f t="shared" si="15"/>
        <v>-47000000</v>
      </c>
      <c r="K22" s="132">
        <f t="shared" si="15"/>
        <v>-47000000</v>
      </c>
      <c r="L22" s="132">
        <f t="shared" si="15"/>
        <v>-47000000</v>
      </c>
      <c r="M22" s="132">
        <f t="shared" si="15"/>
        <v>-47000000</v>
      </c>
      <c r="N22" s="132">
        <f t="shared" si="15"/>
        <v>-47000000</v>
      </c>
      <c r="O22" s="132">
        <f t="shared" si="15"/>
        <v>-47000000</v>
      </c>
      <c r="P22" s="132">
        <f t="shared" si="15"/>
        <v>-47000000</v>
      </c>
      <c r="Q22" s="132">
        <f t="shared" si="15"/>
        <v>-47000000</v>
      </c>
      <c r="R22" s="109"/>
      <c r="S22" s="109"/>
    </row>
    <row r="23" spans="1:19" ht="16.5" customHeight="1" x14ac:dyDescent="0.25">
      <c r="A23" s="129" t="s">
        <v>259</v>
      </c>
      <c r="B23" s="130"/>
      <c r="C23" s="136">
        <f t="shared" ref="C23:Q23" si="16">Mano_Obra_Fija</f>
        <v>-11000000</v>
      </c>
      <c r="D23" s="136">
        <f t="shared" si="16"/>
        <v>-11000000</v>
      </c>
      <c r="E23" s="136">
        <f t="shared" si="16"/>
        <v>-11000000</v>
      </c>
      <c r="F23" s="136">
        <f t="shared" si="16"/>
        <v>-11000000</v>
      </c>
      <c r="G23" s="136">
        <f t="shared" si="16"/>
        <v>-11000000</v>
      </c>
      <c r="H23" s="136">
        <f t="shared" si="16"/>
        <v>-11000000</v>
      </c>
      <c r="I23" s="136">
        <f t="shared" si="16"/>
        <v>-11000000</v>
      </c>
      <c r="J23" s="136">
        <f t="shared" si="16"/>
        <v>-11000000</v>
      </c>
      <c r="K23" s="136">
        <f t="shared" si="16"/>
        <v>-11000000</v>
      </c>
      <c r="L23" s="136">
        <f t="shared" si="16"/>
        <v>-11000000</v>
      </c>
      <c r="M23" s="136">
        <f t="shared" si="16"/>
        <v>-11000000</v>
      </c>
      <c r="N23" s="136">
        <f t="shared" si="16"/>
        <v>-11000000</v>
      </c>
      <c r="O23" s="136">
        <f t="shared" si="16"/>
        <v>-11000000</v>
      </c>
      <c r="P23" s="136">
        <f t="shared" si="16"/>
        <v>-11000000</v>
      </c>
      <c r="Q23" s="136">
        <f t="shared" si="16"/>
        <v>-11000000</v>
      </c>
      <c r="R23" s="109"/>
      <c r="S23" s="109"/>
    </row>
    <row r="24" spans="1:19" ht="16.5" customHeight="1" x14ac:dyDescent="0.25">
      <c r="A24" s="129" t="s">
        <v>424</v>
      </c>
      <c r="B24" s="130"/>
      <c r="C24" s="136">
        <f t="shared" ref="C24:Q24" si="17">GA_Fijo</f>
        <v>-45000000</v>
      </c>
      <c r="D24" s="136">
        <f t="shared" si="17"/>
        <v>-45000000</v>
      </c>
      <c r="E24" s="136">
        <f t="shared" si="17"/>
        <v>-45000000</v>
      </c>
      <c r="F24" s="136">
        <f t="shared" si="17"/>
        <v>-45000000</v>
      </c>
      <c r="G24" s="136">
        <f t="shared" si="17"/>
        <v>-45000000</v>
      </c>
      <c r="H24" s="136">
        <f t="shared" si="17"/>
        <v>-45000000</v>
      </c>
      <c r="I24" s="136">
        <f t="shared" si="17"/>
        <v>-45000000</v>
      </c>
      <c r="J24" s="136">
        <f t="shared" si="17"/>
        <v>-45000000</v>
      </c>
      <c r="K24" s="136">
        <f t="shared" si="17"/>
        <v>-45000000</v>
      </c>
      <c r="L24" s="136">
        <f t="shared" si="17"/>
        <v>-45000000</v>
      </c>
      <c r="M24" s="136">
        <f t="shared" si="17"/>
        <v>-45000000</v>
      </c>
      <c r="N24" s="136">
        <f t="shared" si="17"/>
        <v>-45000000</v>
      </c>
      <c r="O24" s="136">
        <f t="shared" si="17"/>
        <v>-45000000</v>
      </c>
      <c r="P24" s="136">
        <f t="shared" si="17"/>
        <v>-45000000</v>
      </c>
      <c r="Q24" s="136">
        <f t="shared" si="17"/>
        <v>-45000000</v>
      </c>
      <c r="R24" s="109"/>
      <c r="S24" s="109"/>
    </row>
    <row r="25" spans="1:19" ht="16.5" customHeight="1" x14ac:dyDescent="0.25">
      <c r="A25" s="133" t="s">
        <v>263</v>
      </c>
      <c r="B25" s="134"/>
      <c r="C25" s="135">
        <f t="shared" ref="C25:Q25" si="18">C21+C22+C23+C24</f>
        <v>-135000000</v>
      </c>
      <c r="D25" s="135">
        <f t="shared" si="18"/>
        <v>-135000000</v>
      </c>
      <c r="E25" s="135">
        <f t="shared" si="18"/>
        <v>-135000000</v>
      </c>
      <c r="F25" s="135">
        <f t="shared" si="18"/>
        <v>-135000000</v>
      </c>
      <c r="G25" s="135">
        <f t="shared" si="18"/>
        <v>-135000000</v>
      </c>
      <c r="H25" s="135">
        <f t="shared" si="18"/>
        <v>-135000000</v>
      </c>
      <c r="I25" s="135">
        <f t="shared" si="18"/>
        <v>-135000000</v>
      </c>
      <c r="J25" s="135">
        <f t="shared" si="18"/>
        <v>-135000000</v>
      </c>
      <c r="K25" s="135">
        <f t="shared" si="18"/>
        <v>-135000000</v>
      </c>
      <c r="L25" s="135">
        <f t="shared" si="18"/>
        <v>-135000000</v>
      </c>
      <c r="M25" s="135">
        <f t="shared" si="18"/>
        <v>-135000000</v>
      </c>
      <c r="N25" s="135">
        <f t="shared" si="18"/>
        <v>-135000000</v>
      </c>
      <c r="O25" s="135">
        <f t="shared" si="18"/>
        <v>-135000000</v>
      </c>
      <c r="P25" s="135">
        <f t="shared" si="18"/>
        <v>-135000000</v>
      </c>
      <c r="Q25" s="135">
        <f t="shared" si="18"/>
        <v>-135000000</v>
      </c>
      <c r="R25" s="109"/>
      <c r="S25" s="109"/>
    </row>
    <row r="26" spans="1:19" ht="16.5" customHeight="1" x14ac:dyDescent="0.25">
      <c r="A26" s="133" t="s">
        <v>425</v>
      </c>
      <c r="B26" s="134"/>
      <c r="C26" s="135">
        <f t="shared" ref="C26:Q26" si="19">C20+C25</f>
        <v>276325538.01973337</v>
      </c>
      <c r="D26" s="135">
        <f t="shared" si="19"/>
        <v>276325538.01973337</v>
      </c>
      <c r="E26" s="135">
        <f t="shared" si="19"/>
        <v>276325538.01973337</v>
      </c>
      <c r="F26" s="135">
        <f t="shared" si="19"/>
        <v>276325538.01973337</v>
      </c>
      <c r="G26" s="135">
        <f t="shared" si="19"/>
        <v>276325538.01973337</v>
      </c>
      <c r="H26" s="135">
        <f t="shared" si="19"/>
        <v>276325538.01973337</v>
      </c>
      <c r="I26" s="135">
        <f t="shared" si="19"/>
        <v>276325538.01973337</v>
      </c>
      <c r="J26" s="135">
        <f t="shared" si="19"/>
        <v>276325538.01973337</v>
      </c>
      <c r="K26" s="135">
        <f t="shared" si="19"/>
        <v>276325538.01973337</v>
      </c>
      <c r="L26" s="135">
        <f t="shared" si="19"/>
        <v>276325538.01973337</v>
      </c>
      <c r="M26" s="135">
        <f t="shared" si="19"/>
        <v>276325538.01973337</v>
      </c>
      <c r="N26" s="135">
        <f t="shared" si="19"/>
        <v>276325538.01973337</v>
      </c>
      <c r="O26" s="135">
        <f t="shared" si="19"/>
        <v>276325538.01973337</v>
      </c>
      <c r="P26" s="135">
        <f t="shared" si="19"/>
        <v>276325538.01973337</v>
      </c>
      <c r="Q26" s="135">
        <f t="shared" si="19"/>
        <v>276325538.01973337</v>
      </c>
      <c r="R26" s="109"/>
      <c r="S26" s="109"/>
    </row>
    <row r="27" spans="1:19" ht="16.5" customHeight="1" x14ac:dyDescent="0.25">
      <c r="A27" s="129" t="s">
        <v>426</v>
      </c>
      <c r="B27" s="137">
        <f>CAPEX_Inicial_Total</f>
        <v>-739200000</v>
      </c>
      <c r="C27" s="132">
        <f>0</f>
        <v>0</v>
      </c>
      <c r="D27" s="132">
        <f>0</f>
        <v>0</v>
      </c>
      <c r="E27" s="132">
        <f>0</f>
        <v>0</v>
      </c>
      <c r="F27" s="132">
        <f>0</f>
        <v>0</v>
      </c>
      <c r="G27" s="132">
        <f>0</f>
        <v>0</v>
      </c>
      <c r="H27" s="132">
        <f>0</f>
        <v>0</v>
      </c>
      <c r="I27" s="132">
        <f>0</f>
        <v>0</v>
      </c>
      <c r="J27" s="132">
        <f>0</f>
        <v>0</v>
      </c>
      <c r="K27" s="132">
        <f>0</f>
        <v>0</v>
      </c>
      <c r="L27" s="132">
        <f>0</f>
        <v>0</v>
      </c>
      <c r="M27" s="132">
        <f>0</f>
        <v>0</v>
      </c>
      <c r="N27" s="132">
        <f>0</f>
        <v>0</v>
      </c>
      <c r="O27" s="132">
        <f>0</f>
        <v>0</v>
      </c>
      <c r="P27" s="132">
        <f>0</f>
        <v>0</v>
      </c>
      <c r="Q27" s="132">
        <f>0</f>
        <v>0</v>
      </c>
      <c r="R27" s="109"/>
      <c r="S27" s="109"/>
    </row>
    <row r="28" spans="1:19" s="88" customFormat="1" ht="30" customHeight="1" x14ac:dyDescent="0.25">
      <c r="A28" s="123" t="s">
        <v>215</v>
      </c>
      <c r="B28" s="138"/>
      <c r="C28" s="128">
        <f t="shared" ref="C28:Q28" si="20">CAPEX_Inicial_Total*(C7/Reservas_Totales)</f>
        <v>-49280000</v>
      </c>
      <c r="D28" s="128">
        <f t="shared" si="20"/>
        <v>-49280000</v>
      </c>
      <c r="E28" s="128">
        <f t="shared" si="20"/>
        <v>-49280000</v>
      </c>
      <c r="F28" s="128">
        <f t="shared" si="20"/>
        <v>-49280000</v>
      </c>
      <c r="G28" s="128">
        <f t="shared" si="20"/>
        <v>-49280000</v>
      </c>
      <c r="H28" s="128">
        <f t="shared" si="20"/>
        <v>-49280000</v>
      </c>
      <c r="I28" s="128">
        <f t="shared" si="20"/>
        <v>-49280000</v>
      </c>
      <c r="J28" s="128">
        <f t="shared" si="20"/>
        <v>-49280000</v>
      </c>
      <c r="K28" s="128">
        <f t="shared" si="20"/>
        <v>-49280000</v>
      </c>
      <c r="L28" s="128">
        <f t="shared" si="20"/>
        <v>-49280000</v>
      </c>
      <c r="M28" s="128">
        <f t="shared" si="20"/>
        <v>-49280000</v>
      </c>
      <c r="N28" s="128">
        <f t="shared" si="20"/>
        <v>-49280000</v>
      </c>
      <c r="O28" s="128">
        <f t="shared" si="20"/>
        <v>-49280000</v>
      </c>
      <c r="P28" s="128">
        <f t="shared" si="20"/>
        <v>-49280000</v>
      </c>
      <c r="Q28" s="128">
        <f t="shared" si="20"/>
        <v>-49280000</v>
      </c>
      <c r="R28" s="117"/>
      <c r="S28" s="117"/>
    </row>
    <row r="29" spans="1:19" ht="16.5" customHeight="1" x14ac:dyDescent="0.25">
      <c r="A29" s="133" t="s">
        <v>427</v>
      </c>
      <c r="B29" s="134"/>
      <c r="C29" s="135">
        <f t="shared" ref="C29:Q29" si="21">C26+C28</f>
        <v>227045538.01973337</v>
      </c>
      <c r="D29" s="135">
        <f t="shared" si="21"/>
        <v>227045538.01973337</v>
      </c>
      <c r="E29" s="135">
        <f t="shared" si="21"/>
        <v>227045538.01973337</v>
      </c>
      <c r="F29" s="135">
        <f t="shared" si="21"/>
        <v>227045538.01973337</v>
      </c>
      <c r="G29" s="135">
        <f t="shared" si="21"/>
        <v>227045538.01973337</v>
      </c>
      <c r="H29" s="135">
        <f t="shared" si="21"/>
        <v>227045538.01973337</v>
      </c>
      <c r="I29" s="135">
        <f t="shared" si="21"/>
        <v>227045538.01973337</v>
      </c>
      <c r="J29" s="135">
        <f t="shared" si="21"/>
        <v>227045538.01973337</v>
      </c>
      <c r="K29" s="135">
        <f t="shared" si="21"/>
        <v>227045538.01973337</v>
      </c>
      <c r="L29" s="135">
        <f t="shared" si="21"/>
        <v>227045538.01973337</v>
      </c>
      <c r="M29" s="135">
        <f t="shared" si="21"/>
        <v>227045538.01973337</v>
      </c>
      <c r="N29" s="135">
        <f t="shared" si="21"/>
        <v>227045538.01973337</v>
      </c>
      <c r="O29" s="135">
        <f t="shared" si="21"/>
        <v>227045538.01973337</v>
      </c>
      <c r="P29" s="135">
        <f t="shared" si="21"/>
        <v>227045538.01973337</v>
      </c>
      <c r="Q29" s="135">
        <f t="shared" si="21"/>
        <v>227045538.01973337</v>
      </c>
      <c r="R29" s="109"/>
      <c r="S29" s="109"/>
    </row>
    <row r="30" spans="1:19" ht="16.5" customHeight="1" x14ac:dyDescent="0.25">
      <c r="A30" s="129" t="s">
        <v>428</v>
      </c>
      <c r="B30" s="130"/>
      <c r="C30" s="132">
        <f t="shared" ref="C30:Q30" si="22">-Tasa_Impuesto*MAX(C29,0)</f>
        <v>-79465938.30690667</v>
      </c>
      <c r="D30" s="132">
        <f t="shared" si="22"/>
        <v>-79465938.30690667</v>
      </c>
      <c r="E30" s="132">
        <f t="shared" si="22"/>
        <v>-79465938.30690667</v>
      </c>
      <c r="F30" s="132">
        <f t="shared" si="22"/>
        <v>-79465938.30690667</v>
      </c>
      <c r="G30" s="132">
        <f t="shared" si="22"/>
        <v>-79465938.30690667</v>
      </c>
      <c r="H30" s="132">
        <f t="shared" si="22"/>
        <v>-79465938.30690667</v>
      </c>
      <c r="I30" s="132">
        <f t="shared" si="22"/>
        <v>-79465938.30690667</v>
      </c>
      <c r="J30" s="132">
        <f t="shared" si="22"/>
        <v>-79465938.30690667</v>
      </c>
      <c r="K30" s="132">
        <f t="shared" si="22"/>
        <v>-79465938.30690667</v>
      </c>
      <c r="L30" s="132">
        <f t="shared" si="22"/>
        <v>-79465938.30690667</v>
      </c>
      <c r="M30" s="132">
        <f t="shared" si="22"/>
        <v>-79465938.30690667</v>
      </c>
      <c r="N30" s="132">
        <f t="shared" si="22"/>
        <v>-79465938.30690667</v>
      </c>
      <c r="O30" s="132">
        <f t="shared" si="22"/>
        <v>-79465938.30690667</v>
      </c>
      <c r="P30" s="132">
        <f t="shared" si="22"/>
        <v>-79465938.30690667</v>
      </c>
      <c r="Q30" s="132">
        <f t="shared" si="22"/>
        <v>-79465938.30690667</v>
      </c>
      <c r="R30" s="109"/>
      <c r="S30" s="109"/>
    </row>
    <row r="31" spans="1:19" ht="16.5" customHeight="1" x14ac:dyDescent="0.25">
      <c r="A31" s="129" t="s">
        <v>429</v>
      </c>
      <c r="B31" s="130"/>
      <c r="C31" s="132">
        <f>0</f>
        <v>0</v>
      </c>
      <c r="D31" s="132">
        <f>0</f>
        <v>0</v>
      </c>
      <c r="E31" s="132">
        <f>0</f>
        <v>0</v>
      </c>
      <c r="F31" s="132">
        <f>0</f>
        <v>0</v>
      </c>
      <c r="G31" s="132">
        <f>0</f>
        <v>0</v>
      </c>
      <c r="H31" s="132">
        <f>0</f>
        <v>0</v>
      </c>
      <c r="I31" s="132">
        <f>0</f>
        <v>0</v>
      </c>
      <c r="J31" s="132">
        <f>0</f>
        <v>0</v>
      </c>
      <c r="K31" s="132">
        <f>0</f>
        <v>0</v>
      </c>
      <c r="L31" s="132">
        <f>0</f>
        <v>0</v>
      </c>
      <c r="M31" s="132">
        <f>0</f>
        <v>0</v>
      </c>
      <c r="N31" s="132">
        <f>0</f>
        <v>0</v>
      </c>
      <c r="O31" s="132">
        <f>0</f>
        <v>0</v>
      </c>
      <c r="P31" s="132">
        <f>0</f>
        <v>0</v>
      </c>
      <c r="Q31" s="132">
        <f>0</f>
        <v>0</v>
      </c>
      <c r="R31" s="109"/>
      <c r="S31" s="109"/>
    </row>
    <row r="32" spans="1:19" ht="15" customHeight="1" x14ac:dyDescent="0.25">
      <c r="A32" s="129" t="s">
        <v>430</v>
      </c>
      <c r="B32" s="130">
        <v>0</v>
      </c>
      <c r="C32" s="132">
        <v>0</v>
      </c>
      <c r="D32" s="132">
        <v>0</v>
      </c>
      <c r="E32" s="132">
        <v>0</v>
      </c>
      <c r="F32" s="132">
        <v>0</v>
      </c>
      <c r="G32" s="132">
        <v>0</v>
      </c>
      <c r="H32" s="132">
        <v>0</v>
      </c>
      <c r="I32" s="132">
        <v>0</v>
      </c>
      <c r="J32" s="132">
        <v>0</v>
      </c>
      <c r="K32" s="132">
        <v>0</v>
      </c>
      <c r="L32" s="132">
        <v>0</v>
      </c>
      <c r="M32" s="132">
        <v>0</v>
      </c>
      <c r="N32" s="132">
        <v>0</v>
      </c>
      <c r="O32" s="132">
        <v>0</v>
      </c>
      <c r="P32" s="132">
        <v>0</v>
      </c>
      <c r="Q32" s="132">
        <f>CAPEX_Inicial_Total*Tasa_Provision_Cierre</f>
        <v>-73920000</v>
      </c>
      <c r="R32" s="109"/>
      <c r="S32" s="109"/>
    </row>
    <row r="33" spans="1:19" ht="16.5" customHeight="1" x14ac:dyDescent="0.25">
      <c r="A33" s="139" t="s">
        <v>431</v>
      </c>
      <c r="B33" s="140">
        <f>B26+B27+B30+B31+B32</f>
        <v>-739200000</v>
      </c>
      <c r="C33" s="141">
        <f t="shared" ref="C33:Q33" si="23">C26+C30+C31+C32</f>
        <v>196859599.7128267</v>
      </c>
      <c r="D33" s="141">
        <f t="shared" si="23"/>
        <v>196859599.7128267</v>
      </c>
      <c r="E33" s="141">
        <f t="shared" si="23"/>
        <v>196859599.7128267</v>
      </c>
      <c r="F33" s="141">
        <f t="shared" si="23"/>
        <v>196859599.7128267</v>
      </c>
      <c r="G33" s="141">
        <f t="shared" si="23"/>
        <v>196859599.7128267</v>
      </c>
      <c r="H33" s="141">
        <f t="shared" si="23"/>
        <v>196859599.7128267</v>
      </c>
      <c r="I33" s="141">
        <f t="shared" si="23"/>
        <v>196859599.7128267</v>
      </c>
      <c r="J33" s="141">
        <f t="shared" si="23"/>
        <v>196859599.7128267</v>
      </c>
      <c r="K33" s="141">
        <f t="shared" si="23"/>
        <v>196859599.7128267</v>
      </c>
      <c r="L33" s="141">
        <f t="shared" si="23"/>
        <v>196859599.7128267</v>
      </c>
      <c r="M33" s="141">
        <f t="shared" si="23"/>
        <v>196859599.7128267</v>
      </c>
      <c r="N33" s="141">
        <f t="shared" si="23"/>
        <v>196859599.7128267</v>
      </c>
      <c r="O33" s="141">
        <f t="shared" si="23"/>
        <v>196859599.7128267</v>
      </c>
      <c r="P33" s="141">
        <f t="shared" si="23"/>
        <v>196859599.7128267</v>
      </c>
      <c r="Q33" s="141">
        <f t="shared" si="23"/>
        <v>122939599.7128267</v>
      </c>
      <c r="R33" s="109"/>
      <c r="S33" s="109"/>
    </row>
    <row r="34" spans="1:19" ht="13.5" customHeight="1" x14ac:dyDescent="0.25">
      <c r="A34" s="129" t="s">
        <v>432</v>
      </c>
      <c r="B34" s="142">
        <f>B33</f>
        <v>-739200000</v>
      </c>
      <c r="C34" s="132">
        <f t="shared" ref="C34:Q34" si="24">B34+C33</f>
        <v>-542340400.28717327</v>
      </c>
      <c r="D34" s="132">
        <f t="shared" si="24"/>
        <v>-345480800.57434654</v>
      </c>
      <c r="E34" s="132">
        <f t="shared" si="24"/>
        <v>-148621200.86151984</v>
      </c>
      <c r="F34" s="132">
        <f t="shared" si="24"/>
        <v>48238398.851306856</v>
      </c>
      <c r="G34" s="132">
        <f t="shared" si="24"/>
        <v>245097998.56413355</v>
      </c>
      <c r="H34" s="132">
        <f t="shared" si="24"/>
        <v>441957598.27696025</v>
      </c>
      <c r="I34" s="132">
        <f t="shared" si="24"/>
        <v>638817197.98978698</v>
      </c>
      <c r="J34" s="132">
        <f t="shared" si="24"/>
        <v>835676797.70261371</v>
      </c>
      <c r="K34" s="132">
        <f t="shared" si="24"/>
        <v>1032536397.4154404</v>
      </c>
      <c r="L34" s="132">
        <f t="shared" si="24"/>
        <v>1229395997.128267</v>
      </c>
      <c r="M34" s="132">
        <f t="shared" si="24"/>
        <v>1426255596.8410938</v>
      </c>
      <c r="N34" s="132">
        <f t="shared" si="24"/>
        <v>1623115196.5539205</v>
      </c>
      <c r="O34" s="132">
        <f t="shared" si="24"/>
        <v>1819974796.2667472</v>
      </c>
      <c r="P34" s="132">
        <f t="shared" si="24"/>
        <v>2016834395.979574</v>
      </c>
      <c r="Q34" s="132">
        <f t="shared" si="24"/>
        <v>2139773995.6924007</v>
      </c>
      <c r="R34" s="109"/>
      <c r="S34" s="109"/>
    </row>
    <row r="35" spans="1:19" ht="15" customHeight="1" x14ac:dyDescent="0.25">
      <c r="R35" s="109"/>
      <c r="S35" s="109"/>
    </row>
    <row r="36" spans="1:19" ht="15" customHeight="1" x14ac:dyDescent="0.25">
      <c r="A36" s="3" t="s">
        <v>433</v>
      </c>
      <c r="B36" s="5"/>
      <c r="C36" s="5"/>
      <c r="D36" s="5"/>
      <c r="E36" s="5"/>
      <c r="F36" s="5"/>
      <c r="G36" s="5"/>
      <c r="H36" s="5"/>
      <c r="I36" s="5"/>
      <c r="J36" s="5"/>
      <c r="K36" s="5"/>
      <c r="L36" s="5"/>
      <c r="M36" s="5"/>
      <c r="N36" s="5"/>
      <c r="O36" s="5"/>
      <c r="P36" s="5"/>
      <c r="Q36" s="5"/>
      <c r="R36" s="109"/>
      <c r="S36" s="109"/>
    </row>
    <row r="37" spans="1:19" ht="13.5" customHeight="1" x14ac:dyDescent="0.25">
      <c r="A37" s="108" t="s">
        <v>434</v>
      </c>
      <c r="B37" s="143">
        <v>0</v>
      </c>
      <c r="C37" s="132">
        <f t="shared" ref="C37:Q37" si="25">C14*(1-Tasa_Impuesto)</f>
        <v>66929838.118000001</v>
      </c>
      <c r="D37" s="132">
        <f t="shared" si="25"/>
        <v>66929838.118000001</v>
      </c>
      <c r="E37" s="132">
        <f t="shared" si="25"/>
        <v>66929838.118000001</v>
      </c>
      <c r="F37" s="132">
        <f t="shared" si="25"/>
        <v>66929838.118000001</v>
      </c>
      <c r="G37" s="132">
        <f t="shared" si="25"/>
        <v>66929838.118000001</v>
      </c>
      <c r="H37" s="132">
        <f t="shared" si="25"/>
        <v>66929838.118000001</v>
      </c>
      <c r="I37" s="132">
        <f t="shared" si="25"/>
        <v>66929838.118000001</v>
      </c>
      <c r="J37" s="132">
        <f t="shared" si="25"/>
        <v>66929838.118000001</v>
      </c>
      <c r="K37" s="132">
        <f t="shared" si="25"/>
        <v>66929838.118000001</v>
      </c>
      <c r="L37" s="132">
        <f t="shared" si="25"/>
        <v>66929838.118000001</v>
      </c>
      <c r="M37" s="132">
        <f t="shared" si="25"/>
        <v>66929838.118000001</v>
      </c>
      <c r="N37" s="132">
        <f t="shared" si="25"/>
        <v>66929838.118000001</v>
      </c>
      <c r="O37" s="132">
        <f t="shared" si="25"/>
        <v>66929838.118000001</v>
      </c>
      <c r="P37" s="132">
        <f t="shared" si="25"/>
        <v>66929838.118000001</v>
      </c>
      <c r="Q37" s="132">
        <f t="shared" si="25"/>
        <v>66929838.118000001</v>
      </c>
      <c r="R37" s="109"/>
      <c r="S37" s="109"/>
    </row>
    <row r="38" spans="1:19" ht="13.5" customHeight="1" x14ac:dyDescent="0.25">
      <c r="A38" s="108" t="s">
        <v>435</v>
      </c>
      <c r="B38" s="143">
        <v>0</v>
      </c>
      <c r="C38" s="132">
        <f t="shared" ref="C38:Q38" si="26">(1-Tasa_Impuesto)*(C18+C19+C25)-Tasa_Impuesto*C28+C32</f>
        <v>-84245720.38277334</v>
      </c>
      <c r="D38" s="132">
        <f t="shared" si="26"/>
        <v>-84245720.38277334</v>
      </c>
      <c r="E38" s="132">
        <f t="shared" si="26"/>
        <v>-84245720.38277334</v>
      </c>
      <c r="F38" s="132">
        <f t="shared" si="26"/>
        <v>-84245720.38277334</v>
      </c>
      <c r="G38" s="132">
        <f t="shared" si="26"/>
        <v>-84245720.38277334</v>
      </c>
      <c r="H38" s="132">
        <f t="shared" si="26"/>
        <v>-84245720.38277334</v>
      </c>
      <c r="I38" s="132">
        <f t="shared" si="26"/>
        <v>-84245720.38277334</v>
      </c>
      <c r="J38" s="132">
        <f t="shared" si="26"/>
        <v>-84245720.38277334</v>
      </c>
      <c r="K38" s="132">
        <f t="shared" si="26"/>
        <v>-84245720.38277334</v>
      </c>
      <c r="L38" s="132">
        <f t="shared" si="26"/>
        <v>-84245720.38277334</v>
      </c>
      <c r="M38" s="132">
        <f t="shared" si="26"/>
        <v>-84245720.38277334</v>
      </c>
      <c r="N38" s="132">
        <f t="shared" si="26"/>
        <v>-84245720.38277334</v>
      </c>
      <c r="O38" s="132">
        <f t="shared" si="26"/>
        <v>-84245720.38277334</v>
      </c>
      <c r="P38" s="132">
        <f t="shared" si="26"/>
        <v>-84245720.38277334</v>
      </c>
      <c r="Q38" s="132">
        <f t="shared" si="26"/>
        <v>-158165720.38277334</v>
      </c>
      <c r="R38" s="109"/>
      <c r="S38" s="109"/>
    </row>
    <row r="39" spans="1:19" ht="13.5" customHeight="1" x14ac:dyDescent="0.25">
      <c r="A39" s="108"/>
      <c r="B39" s="109"/>
      <c r="C39" s="109"/>
      <c r="D39" s="109"/>
      <c r="E39" s="109"/>
      <c r="F39" s="109"/>
      <c r="G39" s="109"/>
      <c r="H39" s="109"/>
      <c r="I39" s="109"/>
      <c r="J39" s="109"/>
      <c r="K39" s="109"/>
      <c r="L39" s="109"/>
      <c r="M39" s="109"/>
      <c r="N39" s="109"/>
      <c r="O39" s="109"/>
      <c r="P39" s="109"/>
      <c r="Q39" s="109"/>
      <c r="R39" s="109"/>
      <c r="S39" s="109"/>
    </row>
    <row r="40" spans="1:19" ht="13.5" customHeight="1" x14ac:dyDescent="0.25">
      <c r="A40" s="108" t="s">
        <v>436</v>
      </c>
      <c r="B40" s="109"/>
      <c r="C40" s="131">
        <f>SUM(C7:Q7)</f>
        <v>150000000</v>
      </c>
      <c r="D40" s="144">
        <f>Reservas_Totales</f>
        <v>150000000</v>
      </c>
      <c r="E40" s="131">
        <f>C40-D40</f>
        <v>0</v>
      </c>
      <c r="F40" s="109"/>
      <c r="G40" s="109"/>
      <c r="H40" s="109"/>
      <c r="I40" s="109"/>
      <c r="J40" s="109"/>
      <c r="K40" s="109"/>
      <c r="L40" s="109"/>
      <c r="M40" s="109"/>
      <c r="N40" s="109"/>
      <c r="O40" s="109"/>
      <c r="P40" s="109"/>
      <c r="Q40" s="109"/>
      <c r="R40" s="109"/>
      <c r="S40" s="109"/>
    </row>
    <row r="41" spans="1:19" ht="30" customHeight="1" x14ac:dyDescent="0.25">
      <c r="A41" s="256" t="s">
        <v>437</v>
      </c>
      <c r="B41" s="256"/>
      <c r="C41" s="256"/>
      <c r="D41" s="256"/>
      <c r="E41" s="256"/>
      <c r="F41" s="256"/>
      <c r="G41" s="256"/>
      <c r="H41" s="256"/>
      <c r="I41" s="256"/>
      <c r="J41" s="256"/>
      <c r="K41" s="256"/>
      <c r="L41" s="256"/>
      <c r="M41" s="256"/>
      <c r="N41" s="256"/>
      <c r="O41" s="256"/>
      <c r="P41" s="256"/>
      <c r="Q41" s="256"/>
      <c r="R41" s="109"/>
      <c r="S41" s="109"/>
    </row>
    <row r="42" spans="1:19" ht="13.5" customHeight="1" x14ac:dyDescent="0.25">
      <c r="A42" s="108"/>
      <c r="B42" s="109"/>
      <c r="C42" s="109"/>
      <c r="D42" s="109"/>
      <c r="E42" s="109"/>
      <c r="F42" s="109"/>
      <c r="G42" s="109"/>
      <c r="H42" s="109"/>
      <c r="I42" s="109"/>
      <c r="J42" s="109"/>
      <c r="K42" s="109"/>
      <c r="L42" s="109"/>
      <c r="M42" s="109"/>
      <c r="N42" s="109"/>
      <c r="O42" s="109"/>
      <c r="P42" s="109"/>
      <c r="Q42" s="109"/>
      <c r="R42" s="109"/>
      <c r="S42" s="109"/>
    </row>
    <row r="43" spans="1:19" ht="13.5" customHeight="1" x14ac:dyDescent="0.25">
      <c r="A43" s="108"/>
      <c r="B43" s="109"/>
      <c r="C43" s="109"/>
      <c r="D43" s="109"/>
      <c r="E43" s="109"/>
      <c r="F43" s="109"/>
      <c r="G43" s="109"/>
      <c r="H43" s="109"/>
      <c r="I43" s="109"/>
      <c r="J43" s="109"/>
      <c r="K43" s="109"/>
      <c r="L43" s="109"/>
      <c r="M43" s="109"/>
      <c r="N43" s="109"/>
      <c r="O43" s="109"/>
      <c r="P43" s="109"/>
      <c r="Q43" s="109"/>
      <c r="R43" s="109"/>
      <c r="S43" s="109"/>
    </row>
    <row r="44" spans="1:19" ht="13.5" customHeight="1" x14ac:dyDescent="0.25">
      <c r="A44" s="108"/>
      <c r="B44" s="109"/>
      <c r="C44" s="109"/>
      <c r="D44" s="109"/>
      <c r="E44" s="109"/>
      <c r="F44" s="109"/>
      <c r="G44" s="109"/>
      <c r="H44" s="109"/>
      <c r="I44" s="109"/>
      <c r="J44" s="109"/>
      <c r="K44" s="109"/>
      <c r="L44" s="109"/>
      <c r="M44" s="109"/>
      <c r="N44" s="109"/>
      <c r="O44" s="109"/>
      <c r="P44" s="109"/>
      <c r="Q44" s="109"/>
      <c r="R44" s="109"/>
      <c r="S44" s="109"/>
    </row>
    <row r="45" spans="1:19" ht="13.5" customHeight="1" x14ac:dyDescent="0.25">
      <c r="A45" s="108"/>
      <c r="B45" s="109"/>
      <c r="C45" s="109"/>
      <c r="D45" s="109"/>
      <c r="E45" s="109"/>
      <c r="F45" s="109"/>
      <c r="G45" s="109"/>
      <c r="H45" s="109"/>
      <c r="I45" s="109"/>
      <c r="J45" s="109"/>
      <c r="K45" s="109"/>
      <c r="L45" s="109"/>
      <c r="M45" s="109"/>
      <c r="N45" s="109"/>
      <c r="O45" s="109"/>
      <c r="P45" s="109"/>
      <c r="Q45" s="109"/>
      <c r="R45" s="109"/>
      <c r="S45" s="109"/>
    </row>
    <row r="46" spans="1:19" ht="13.5" customHeight="1" x14ac:dyDescent="0.25">
      <c r="A46" s="108"/>
      <c r="B46" s="109"/>
      <c r="C46" s="109"/>
      <c r="D46" s="109"/>
      <c r="E46" s="109"/>
      <c r="F46" s="109"/>
      <c r="G46" s="109"/>
      <c r="H46" s="109"/>
      <c r="I46" s="109"/>
      <c r="J46" s="109"/>
      <c r="K46" s="109"/>
      <c r="L46" s="109"/>
      <c r="M46" s="109"/>
      <c r="N46" s="109"/>
      <c r="O46" s="109"/>
      <c r="P46" s="109"/>
      <c r="Q46" s="109"/>
      <c r="R46" s="109"/>
      <c r="S46" s="109"/>
    </row>
    <row r="47" spans="1:19" ht="13.5" customHeight="1" x14ac:dyDescent="0.25">
      <c r="A47" s="108"/>
      <c r="B47" s="109"/>
      <c r="C47" s="109"/>
      <c r="D47" s="109"/>
      <c r="E47" s="109"/>
      <c r="F47" s="109"/>
      <c r="G47" s="109"/>
      <c r="H47" s="109"/>
      <c r="I47" s="109"/>
      <c r="J47" s="109"/>
      <c r="K47" s="109"/>
      <c r="L47" s="109"/>
      <c r="M47" s="109"/>
      <c r="N47" s="109"/>
      <c r="O47" s="109"/>
      <c r="P47" s="109"/>
      <c r="Q47" s="109"/>
      <c r="R47" s="109"/>
      <c r="S47" s="109"/>
    </row>
    <row r="48" spans="1:19" ht="13.5" customHeight="1" x14ac:dyDescent="0.25">
      <c r="A48" s="108"/>
      <c r="B48" s="109"/>
      <c r="C48" s="109"/>
      <c r="D48" s="109"/>
      <c r="E48" s="109"/>
      <c r="F48" s="109"/>
      <c r="G48" s="109"/>
      <c r="H48" s="109"/>
      <c r="I48" s="109"/>
      <c r="J48" s="109"/>
      <c r="K48" s="109"/>
      <c r="L48" s="109"/>
      <c r="M48" s="109"/>
      <c r="N48" s="109"/>
      <c r="O48" s="109"/>
      <c r="P48" s="109"/>
      <c r="Q48" s="109"/>
      <c r="R48" s="109"/>
      <c r="S48" s="109"/>
    </row>
    <row r="49" spans="1:19" ht="13.5" customHeight="1" x14ac:dyDescent="0.25">
      <c r="A49" s="108"/>
      <c r="B49" s="109"/>
      <c r="C49" s="109"/>
      <c r="D49" s="109"/>
      <c r="E49" s="109"/>
      <c r="F49" s="109"/>
      <c r="G49" s="109"/>
      <c r="H49" s="109"/>
      <c r="I49" s="109"/>
      <c r="J49" s="109"/>
      <c r="K49" s="109"/>
      <c r="L49" s="109"/>
      <c r="M49" s="109"/>
      <c r="N49" s="109"/>
      <c r="O49" s="109"/>
      <c r="P49" s="109"/>
      <c r="Q49" s="109"/>
      <c r="R49" s="109"/>
      <c r="S49" s="109"/>
    </row>
    <row r="50" spans="1:19" ht="13.5" customHeight="1" x14ac:dyDescent="0.25">
      <c r="A50" s="108"/>
      <c r="B50" s="109"/>
      <c r="C50" s="109"/>
      <c r="D50" s="109"/>
      <c r="E50" s="109"/>
      <c r="F50" s="109"/>
      <c r="G50" s="109"/>
      <c r="H50" s="109"/>
      <c r="I50" s="109"/>
      <c r="J50" s="109"/>
      <c r="K50" s="109"/>
      <c r="L50" s="109"/>
      <c r="M50" s="109"/>
      <c r="N50" s="109"/>
      <c r="O50" s="109"/>
      <c r="P50" s="109"/>
      <c r="Q50" s="109"/>
      <c r="R50" s="109"/>
      <c r="S50" s="109"/>
    </row>
    <row r="51" spans="1:19" ht="13.5" customHeight="1" x14ac:dyDescent="0.25">
      <c r="A51" s="108"/>
      <c r="B51" s="109"/>
      <c r="C51" s="109"/>
      <c r="D51" s="109"/>
      <c r="E51" s="109"/>
      <c r="F51" s="109"/>
      <c r="G51" s="109"/>
      <c r="H51" s="109"/>
      <c r="I51" s="109"/>
      <c r="J51" s="109"/>
      <c r="K51" s="109"/>
      <c r="L51" s="109"/>
      <c r="M51" s="109"/>
      <c r="N51" s="109"/>
      <c r="O51" s="109"/>
      <c r="P51" s="109"/>
      <c r="Q51" s="109"/>
      <c r="R51" s="109"/>
      <c r="S51" s="109"/>
    </row>
    <row r="52" spans="1:19" ht="13.5" customHeight="1" x14ac:dyDescent="0.25">
      <c r="A52" s="108"/>
      <c r="B52" s="109"/>
      <c r="C52" s="109"/>
      <c r="D52" s="109"/>
      <c r="E52" s="109"/>
      <c r="F52" s="109"/>
      <c r="G52" s="109"/>
      <c r="H52" s="109"/>
      <c r="I52" s="109"/>
      <c r="J52" s="109"/>
      <c r="K52" s="109"/>
      <c r="L52" s="109"/>
      <c r="M52" s="109"/>
      <c r="N52" s="109"/>
      <c r="O52" s="109"/>
      <c r="P52" s="109"/>
      <c r="Q52" s="109"/>
      <c r="R52" s="109"/>
      <c r="S52" s="109"/>
    </row>
    <row r="53" spans="1:19" ht="13.5" customHeight="1" x14ac:dyDescent="0.25">
      <c r="A53" s="108"/>
      <c r="B53" s="109"/>
      <c r="C53" s="109"/>
      <c r="D53" s="109"/>
      <c r="E53" s="109"/>
      <c r="F53" s="109"/>
      <c r="G53" s="109"/>
      <c r="H53" s="109"/>
      <c r="I53" s="109"/>
      <c r="J53" s="109"/>
      <c r="K53" s="109"/>
      <c r="L53" s="109"/>
      <c r="M53" s="109"/>
      <c r="N53" s="109"/>
      <c r="O53" s="109"/>
      <c r="P53" s="109"/>
      <c r="Q53" s="109"/>
      <c r="R53" s="109"/>
      <c r="S53" s="109"/>
    </row>
    <row r="54" spans="1:19" ht="13.5" customHeight="1" x14ac:dyDescent="0.25">
      <c r="A54" s="108"/>
      <c r="B54" s="109"/>
      <c r="C54" s="109"/>
      <c r="D54" s="109"/>
      <c r="E54" s="109"/>
      <c r="F54" s="109"/>
      <c r="G54" s="109"/>
      <c r="H54" s="109"/>
      <c r="I54" s="109"/>
      <c r="J54" s="109"/>
      <c r="K54" s="109"/>
      <c r="L54" s="109"/>
      <c r="M54" s="109"/>
      <c r="N54" s="109"/>
      <c r="O54" s="109"/>
      <c r="P54" s="109"/>
      <c r="Q54" s="109"/>
      <c r="R54" s="109"/>
      <c r="S54" s="109"/>
    </row>
    <row r="55" spans="1:19" ht="13.5" customHeight="1" x14ac:dyDescent="0.25">
      <c r="A55" s="108"/>
      <c r="B55" s="109"/>
      <c r="C55" s="109"/>
      <c r="D55" s="109"/>
      <c r="E55" s="109"/>
      <c r="F55" s="109"/>
      <c r="G55" s="109"/>
      <c r="H55" s="109"/>
      <c r="I55" s="109"/>
      <c r="J55" s="109"/>
      <c r="K55" s="109"/>
      <c r="L55" s="109"/>
      <c r="M55" s="109"/>
      <c r="N55" s="109"/>
      <c r="O55" s="109"/>
      <c r="P55" s="109"/>
      <c r="Q55" s="109"/>
      <c r="R55" s="109"/>
      <c r="S55" s="109"/>
    </row>
    <row r="56" spans="1:19" ht="13.5" customHeight="1" x14ac:dyDescent="0.25">
      <c r="A56" s="108"/>
      <c r="B56" s="109"/>
      <c r="C56" s="109"/>
      <c r="D56" s="109"/>
      <c r="E56" s="109"/>
      <c r="F56" s="109"/>
      <c r="G56" s="109"/>
      <c r="H56" s="109"/>
      <c r="I56" s="109"/>
      <c r="J56" s="109"/>
      <c r="K56" s="109"/>
      <c r="L56" s="109"/>
      <c r="M56" s="109"/>
      <c r="N56" s="109"/>
      <c r="O56" s="109"/>
      <c r="P56" s="109"/>
      <c r="Q56" s="109"/>
      <c r="R56" s="109"/>
      <c r="S56" s="109"/>
    </row>
    <row r="57" spans="1:19" ht="13.5" customHeight="1" x14ac:dyDescent="0.25">
      <c r="A57" s="108"/>
      <c r="B57" s="109"/>
      <c r="C57" s="109"/>
      <c r="D57" s="109"/>
      <c r="E57" s="109"/>
      <c r="F57" s="109"/>
      <c r="G57" s="109"/>
      <c r="H57" s="109"/>
      <c r="I57" s="109"/>
      <c r="J57" s="109"/>
      <c r="K57" s="109"/>
      <c r="L57" s="109"/>
      <c r="M57" s="109"/>
      <c r="N57" s="109"/>
      <c r="O57" s="109"/>
      <c r="P57" s="109"/>
      <c r="Q57" s="109"/>
      <c r="R57" s="109"/>
      <c r="S57" s="109"/>
    </row>
    <row r="58" spans="1:19" ht="13.5" customHeight="1" x14ac:dyDescent="0.25">
      <c r="A58" s="108"/>
      <c r="B58" s="109"/>
      <c r="C58" s="109"/>
      <c r="D58" s="109"/>
      <c r="E58" s="109"/>
      <c r="F58" s="109"/>
      <c r="G58" s="109"/>
      <c r="H58" s="109"/>
      <c r="I58" s="109"/>
      <c r="J58" s="109"/>
      <c r="K58" s="109"/>
      <c r="L58" s="109"/>
      <c r="M58" s="109"/>
      <c r="N58" s="109"/>
      <c r="O58" s="109"/>
      <c r="P58" s="109"/>
      <c r="Q58" s="109"/>
      <c r="R58" s="109"/>
      <c r="S58" s="109"/>
    </row>
    <row r="59" spans="1:19" ht="13.5" customHeight="1" x14ac:dyDescent="0.25">
      <c r="A59" s="108"/>
      <c r="B59" s="109"/>
      <c r="C59" s="109"/>
      <c r="D59" s="109"/>
      <c r="E59" s="109"/>
      <c r="F59" s="109"/>
      <c r="G59" s="109"/>
      <c r="H59" s="109"/>
      <c r="I59" s="109"/>
      <c r="J59" s="109"/>
      <c r="K59" s="109"/>
      <c r="L59" s="109"/>
      <c r="M59" s="109"/>
      <c r="N59" s="109"/>
      <c r="O59" s="109"/>
      <c r="P59" s="109"/>
      <c r="Q59" s="109"/>
      <c r="R59" s="109"/>
      <c r="S59" s="109"/>
    </row>
  </sheetData>
  <mergeCells count="2">
    <mergeCell ref="A3:R3"/>
    <mergeCell ref="A41:Q41"/>
  </mergeCells>
  <pageMargins left="0.75" right="0.75" top="1" bottom="1" header="0.511811023622047" footer="0.511811023622047"/>
  <pageSetup paperSize="9" orientation="portrait" horizontalDpi="300" verticalDpi="30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32"/>
  <sheetViews>
    <sheetView showGridLines="0" topLeftCell="A23" zoomScale="93" zoomScaleNormal="93" workbookViewId="0">
      <selection activeCell="B25" sqref="B25"/>
    </sheetView>
  </sheetViews>
  <sheetFormatPr baseColWidth="10" defaultColWidth="40" defaultRowHeight="15" outlineLevelRow="1" x14ac:dyDescent="0.25"/>
  <cols>
    <col min="1" max="1" width="40" style="145"/>
    <col min="2" max="16384" width="40" style="146"/>
  </cols>
  <sheetData>
    <row r="1" spans="1:19" ht="21" customHeight="1" x14ac:dyDescent="0.25">
      <c r="A1" s="147" t="s">
        <v>438</v>
      </c>
      <c r="B1" s="109"/>
      <c r="C1" s="109"/>
      <c r="D1" s="109"/>
      <c r="E1" s="109"/>
      <c r="F1" s="109"/>
      <c r="G1" s="109"/>
      <c r="H1" s="109"/>
      <c r="I1" s="109"/>
      <c r="J1" s="109"/>
      <c r="K1" s="109"/>
      <c r="L1" s="109"/>
      <c r="M1" s="109"/>
      <c r="N1" s="109"/>
      <c r="O1" s="109"/>
      <c r="P1" s="109"/>
      <c r="Q1" s="109"/>
      <c r="R1" s="109"/>
      <c r="S1" s="109"/>
    </row>
    <row r="2" spans="1:19" ht="13.5" customHeight="1" x14ac:dyDescent="0.25">
      <c r="A2" s="148" t="s">
        <v>439</v>
      </c>
      <c r="B2" s="109"/>
      <c r="C2" s="109"/>
      <c r="D2" s="109"/>
      <c r="E2" s="109"/>
      <c r="F2" s="109"/>
      <c r="G2" s="109"/>
      <c r="H2" s="109"/>
      <c r="I2" s="109"/>
      <c r="J2" s="109"/>
      <c r="K2" s="109"/>
      <c r="L2" s="109"/>
      <c r="M2" s="109"/>
      <c r="N2" s="109"/>
      <c r="O2" s="109"/>
      <c r="P2" s="109"/>
      <c r="Q2" s="109"/>
      <c r="R2" s="109"/>
      <c r="S2" s="109"/>
    </row>
    <row r="3" spans="1:19" ht="13.5" customHeight="1" x14ac:dyDescent="0.25">
      <c r="A3" s="108"/>
      <c r="B3" s="109"/>
      <c r="C3" s="109"/>
      <c r="D3" s="109"/>
      <c r="E3" s="109"/>
      <c r="F3" s="109"/>
      <c r="G3" s="109"/>
      <c r="H3" s="109"/>
      <c r="I3" s="109"/>
      <c r="J3" s="109"/>
      <c r="K3" s="109"/>
      <c r="L3" s="109"/>
      <c r="M3" s="109"/>
      <c r="N3" s="109"/>
      <c r="O3" s="109"/>
      <c r="P3" s="109"/>
      <c r="Q3" s="109"/>
      <c r="R3" s="109"/>
      <c r="S3" s="109"/>
    </row>
    <row r="4" spans="1:19" ht="13.5" customHeight="1" x14ac:dyDescent="0.25">
      <c r="A4" s="257" t="s">
        <v>440</v>
      </c>
      <c r="B4" s="257"/>
      <c r="C4" s="257"/>
      <c r="D4" s="257"/>
      <c r="E4" s="257"/>
      <c r="F4" s="257"/>
      <c r="G4" s="257"/>
      <c r="H4" s="257"/>
      <c r="I4" s="257"/>
      <c r="J4" s="257"/>
      <c r="K4" s="257"/>
      <c r="L4" s="257"/>
      <c r="M4" s="257"/>
      <c r="N4" s="257"/>
      <c r="O4" s="257"/>
      <c r="P4" s="257"/>
      <c r="Q4" s="257"/>
      <c r="R4" s="257"/>
      <c r="S4" s="109"/>
    </row>
    <row r="5" spans="1:19" ht="13.5" customHeight="1" x14ac:dyDescent="0.25">
      <c r="A5" s="149" t="s">
        <v>196</v>
      </c>
      <c r="B5" s="150" t="s">
        <v>399</v>
      </c>
      <c r="C5" s="150" t="s">
        <v>400</v>
      </c>
      <c r="D5" s="150" t="s">
        <v>401</v>
      </c>
      <c r="E5" s="150" t="s">
        <v>402</v>
      </c>
      <c r="F5" s="150" t="s">
        <v>403</v>
      </c>
      <c r="G5" s="150" t="s">
        <v>404</v>
      </c>
      <c r="H5" s="150" t="s">
        <v>405</v>
      </c>
      <c r="I5" s="150" t="s">
        <v>406</v>
      </c>
      <c r="J5" s="150" t="s">
        <v>407</v>
      </c>
      <c r="K5" s="150" t="s">
        <v>408</v>
      </c>
      <c r="L5" s="150" t="s">
        <v>409</v>
      </c>
      <c r="M5" s="150" t="s">
        <v>410</v>
      </c>
      <c r="N5" s="150" t="s">
        <v>411</v>
      </c>
      <c r="O5" s="150" t="s">
        <v>412</v>
      </c>
      <c r="P5" s="150" t="s">
        <v>413</v>
      </c>
      <c r="Q5" s="150" t="s">
        <v>414</v>
      </c>
      <c r="R5" s="150" t="s">
        <v>222</v>
      </c>
      <c r="S5" s="109"/>
    </row>
    <row r="6" spans="1:19" ht="30" customHeight="1" x14ac:dyDescent="0.25">
      <c r="A6" s="129" t="s">
        <v>431</v>
      </c>
      <c r="B6" s="151">
        <f>'Cash Flow'!B33</f>
        <v>-739200000</v>
      </c>
      <c r="C6" s="151">
        <f>'Cash Flow'!C33</f>
        <v>196859599.7128267</v>
      </c>
      <c r="D6" s="151">
        <f>'Cash Flow'!D33</f>
        <v>196859599.7128267</v>
      </c>
      <c r="E6" s="151">
        <f>'Cash Flow'!E33</f>
        <v>196859599.7128267</v>
      </c>
      <c r="F6" s="151">
        <f>'Cash Flow'!F33</f>
        <v>196859599.7128267</v>
      </c>
      <c r="G6" s="151">
        <f>'Cash Flow'!G33</f>
        <v>196859599.7128267</v>
      </c>
      <c r="H6" s="151">
        <f>'Cash Flow'!H33</f>
        <v>196859599.7128267</v>
      </c>
      <c r="I6" s="151">
        <f>'Cash Flow'!I33</f>
        <v>196859599.7128267</v>
      </c>
      <c r="J6" s="151">
        <f>'Cash Flow'!J33</f>
        <v>196859599.7128267</v>
      </c>
      <c r="K6" s="151">
        <f>'Cash Flow'!K33</f>
        <v>196859599.7128267</v>
      </c>
      <c r="L6" s="151">
        <f>'Cash Flow'!L33</f>
        <v>196859599.7128267</v>
      </c>
      <c r="M6" s="151">
        <f>'Cash Flow'!M33</f>
        <v>196859599.7128267</v>
      </c>
      <c r="N6" s="151">
        <f>'Cash Flow'!N33</f>
        <v>196859599.7128267</v>
      </c>
      <c r="O6" s="151">
        <f>'Cash Flow'!O33</f>
        <v>196859599.7128267</v>
      </c>
      <c r="P6" s="151">
        <f>'Cash Flow'!P33</f>
        <v>196859599.7128267</v>
      </c>
      <c r="Q6" s="151">
        <f>'Cash Flow'!Q33</f>
        <v>122939599.7128267</v>
      </c>
      <c r="R6" s="152" t="s">
        <v>441</v>
      </c>
      <c r="S6" s="109"/>
    </row>
    <row r="7" spans="1:19" ht="121.5" hidden="1" customHeight="1" outlineLevel="1" x14ac:dyDescent="0.25">
      <c r="A7" s="153" t="s">
        <v>442</v>
      </c>
      <c r="B7" s="154">
        <f>'Cash Flow'!$B$33</f>
        <v>-739200000</v>
      </c>
      <c r="C7" s="154">
        <f>'Cash Flow'!$B$33+NPV(WACC,'Cash Flow'!$C$33:C33)</f>
        <v>-560236727.53379393</v>
      </c>
      <c r="D7" s="154">
        <f>'Cash Flow'!$B$33+NPV(WACC,'Cash Flow'!$C$33:D33)</f>
        <v>-397542843.47360659</v>
      </c>
      <c r="E7" s="154">
        <f>'Cash Flow'!$B$33+NPV(WACC,'Cash Flow'!$C$33:E33)</f>
        <v>-249639312.5097999</v>
      </c>
      <c r="F7" s="154">
        <f>'Cash Flow'!$B$33+NPV(WACC,'Cash Flow'!$C$33:F33)</f>
        <v>-115181557.08815753</v>
      </c>
      <c r="G7" s="154">
        <f>'Cash Flow'!$B$33+NPV(WACC,'Cash Flow'!$C$33:G33)</f>
        <v>7052766.022426486</v>
      </c>
      <c r="H7" s="154">
        <f>'Cash Flow'!$B$33+NPV(WACC,'Cash Flow'!$C$33:H33)</f>
        <v>118174877.94113922</v>
      </c>
      <c r="I7" s="154">
        <f>'Cash Flow'!$B$33+NPV(WACC,'Cash Flow'!$C$33:I33)</f>
        <v>219194979.68542349</v>
      </c>
      <c r="J7" s="154">
        <f>'Cash Flow'!$B$33+NPV(WACC,'Cash Flow'!$C$33:J33)</f>
        <v>311031435.81659091</v>
      </c>
      <c r="K7" s="154">
        <f>'Cash Flow'!$B$33+NPV(WACC,'Cash Flow'!$C$33:K33)</f>
        <v>394519123.20856118</v>
      </c>
      <c r="L7" s="154">
        <f>'Cash Flow'!$B$33+NPV(WACC,'Cash Flow'!$C$33:L33)</f>
        <v>470417020.83762527</v>
      </c>
      <c r="M7" s="154">
        <f>'Cash Flow'!$B$33+NPV(WACC,'Cash Flow'!$C$33:M33)</f>
        <v>539415109.5913198</v>
      </c>
      <c r="N7" s="154">
        <f>'Cash Flow'!$B$33+NPV(WACC,'Cash Flow'!$C$33:N33)</f>
        <v>602140644.82195139</v>
      </c>
      <c r="O7" s="154">
        <f>'Cash Flow'!$B$33+NPV(WACC,'Cash Flow'!$C$33:O33)</f>
        <v>659163858.66797972</v>
      </c>
      <c r="P7" s="154">
        <f>'Cash Flow'!$B$33+NPV(WACC,'Cash Flow'!$C$33:P33)</f>
        <v>711003143.9825511</v>
      </c>
      <c r="Q7" s="154">
        <f>'Cash Flow'!$B$33+NPV(WACC,'Cash Flow'!$C$33:Q33)</f>
        <v>740433906.70642924</v>
      </c>
      <c r="R7" s="152" t="s">
        <v>443</v>
      </c>
      <c r="S7" s="109"/>
    </row>
    <row r="8" spans="1:19" ht="13.5" customHeight="1" collapsed="1" x14ac:dyDescent="0.25">
      <c r="A8" s="108"/>
      <c r="B8" s="109"/>
      <c r="C8" s="109"/>
      <c r="D8" s="109"/>
      <c r="E8" s="109"/>
      <c r="F8" s="109"/>
      <c r="G8" s="109"/>
      <c r="H8" s="109"/>
      <c r="I8" s="109"/>
      <c r="J8" s="109"/>
      <c r="K8" s="109"/>
      <c r="L8" s="109"/>
      <c r="M8" s="109"/>
      <c r="N8" s="109"/>
      <c r="O8" s="109"/>
      <c r="P8" s="109"/>
      <c r="Q8" s="109"/>
      <c r="R8" s="109"/>
      <c r="S8" s="109"/>
    </row>
    <row r="9" spans="1:19" ht="13.5" customHeight="1" x14ac:dyDescent="0.25">
      <c r="A9" s="257" t="s">
        <v>444</v>
      </c>
      <c r="B9" s="257"/>
      <c r="C9" s="257"/>
      <c r="D9" s="257"/>
      <c r="E9" s="109"/>
      <c r="F9" s="109"/>
      <c r="G9" s="109"/>
      <c r="H9" s="109"/>
      <c r="I9" s="109"/>
      <c r="J9" s="109"/>
      <c r="K9" s="109"/>
      <c r="L9" s="109"/>
      <c r="M9" s="109"/>
      <c r="N9" s="109"/>
      <c r="O9" s="109"/>
      <c r="P9" s="109"/>
      <c r="Q9" s="109"/>
      <c r="R9" s="109"/>
      <c r="S9" s="109"/>
    </row>
    <row r="10" spans="1:19" ht="13.5" customHeight="1" x14ac:dyDescent="0.25">
      <c r="A10" s="155" t="s">
        <v>196</v>
      </c>
      <c r="B10" s="150" t="s">
        <v>40</v>
      </c>
      <c r="C10" s="150" t="s">
        <v>41</v>
      </c>
      <c r="D10" s="150" t="s">
        <v>222</v>
      </c>
      <c r="E10" s="109"/>
      <c r="F10" s="109"/>
      <c r="G10" s="109"/>
      <c r="H10" s="109"/>
      <c r="I10" s="109"/>
      <c r="J10" s="109"/>
      <c r="K10" s="109"/>
      <c r="L10" s="109"/>
      <c r="M10" s="109"/>
      <c r="N10" s="109"/>
      <c r="O10" s="109"/>
      <c r="P10" s="109"/>
      <c r="Q10" s="109"/>
      <c r="R10" s="109"/>
      <c r="S10" s="109"/>
    </row>
    <row r="11" spans="1:19" s="159" customFormat="1" ht="45" customHeight="1" x14ac:dyDescent="0.25">
      <c r="A11" s="123" t="s">
        <v>445</v>
      </c>
      <c r="B11" s="156">
        <f>Reservas_Totales/Toneladas_Procesadas</f>
        <v>15</v>
      </c>
      <c r="C11" s="157" t="s">
        <v>446</v>
      </c>
      <c r="D11" s="158" t="s">
        <v>447</v>
      </c>
      <c r="E11" s="117"/>
      <c r="F11" s="117"/>
      <c r="G11" s="117"/>
      <c r="H11" s="117"/>
      <c r="I11" s="117"/>
      <c r="J11" s="117"/>
      <c r="K11" s="117"/>
      <c r="L11" s="117"/>
      <c r="M11" s="117"/>
      <c r="N11" s="117"/>
      <c r="O11" s="117"/>
      <c r="P11" s="117"/>
      <c r="Q11" s="117"/>
      <c r="R11" s="117"/>
      <c r="S11" s="117"/>
    </row>
    <row r="12" spans="1:19" s="159" customFormat="1" ht="30" customHeight="1" x14ac:dyDescent="0.25">
      <c r="A12" s="123" t="s">
        <v>448</v>
      </c>
      <c r="B12" s="160">
        <f>WACC</f>
        <v>0.1</v>
      </c>
      <c r="C12" s="157" t="s">
        <v>54</v>
      </c>
      <c r="D12" s="158" t="s">
        <v>449</v>
      </c>
      <c r="E12" s="117"/>
      <c r="F12" s="117"/>
      <c r="G12" s="117"/>
      <c r="H12" s="117"/>
      <c r="I12" s="117"/>
      <c r="J12" s="117"/>
      <c r="K12" s="117"/>
      <c r="L12" s="117"/>
      <c r="M12" s="117"/>
      <c r="N12" s="117"/>
      <c r="O12" s="117"/>
      <c r="P12" s="117"/>
      <c r="Q12" s="117"/>
      <c r="R12" s="117"/>
      <c r="S12" s="117"/>
    </row>
    <row r="13" spans="1:19" s="159" customFormat="1" ht="90" customHeight="1" x14ac:dyDescent="0.25">
      <c r="A13" s="161" t="s">
        <v>450</v>
      </c>
      <c r="B13" s="162">
        <f>+B6+NPV(B12,C6:Q6)</f>
        <v>740433906.70642924</v>
      </c>
      <c r="C13" s="163" t="s">
        <v>10</v>
      </c>
      <c r="D13" s="164" t="s">
        <v>451</v>
      </c>
      <c r="E13" s="165"/>
      <c r="F13" s="117"/>
      <c r="G13" s="117"/>
      <c r="H13" s="117"/>
      <c r="I13" s="117"/>
      <c r="J13" s="117"/>
      <c r="K13" s="117"/>
      <c r="L13" s="117"/>
      <c r="M13" s="117"/>
      <c r="N13" s="117"/>
      <c r="O13" s="117"/>
      <c r="P13" s="117"/>
      <c r="Q13" s="117"/>
      <c r="R13" s="117"/>
      <c r="S13" s="117"/>
    </row>
    <row r="14" spans="1:19" s="159" customFormat="1" ht="45" customHeight="1" x14ac:dyDescent="0.25">
      <c r="A14" s="161" t="s">
        <v>452</v>
      </c>
      <c r="B14" s="166">
        <f>IRR(B6:Q6)</f>
        <v>0.25684908406719242</v>
      </c>
      <c r="C14" s="163" t="s">
        <v>54</v>
      </c>
      <c r="D14" s="164" t="s">
        <v>453</v>
      </c>
      <c r="E14" s="117"/>
      <c r="F14" s="117"/>
      <c r="G14" s="117"/>
      <c r="H14" s="117"/>
      <c r="I14" s="117"/>
      <c r="J14" s="117"/>
      <c r="K14" s="117"/>
      <c r="L14" s="117"/>
      <c r="M14" s="117"/>
      <c r="N14" s="117"/>
      <c r="O14" s="117"/>
      <c r="P14" s="117"/>
      <c r="Q14" s="117"/>
      <c r="R14" s="117"/>
      <c r="S14" s="117"/>
    </row>
    <row r="15" spans="1:19" s="159" customFormat="1" ht="30" customHeight="1" x14ac:dyDescent="0.25">
      <c r="A15" s="123" t="s">
        <v>454</v>
      </c>
      <c r="B15" s="156">
        <f>IFERROR((COUNTIF('Cash Flow'!$B$34:$Q$34,"&lt;0")-1)+(-INDEX('Cash Flow'!$B$34:$Q$34,COUNTIF('Cash Flow'!$B$34:$Q$34,"&lt;0"))/INDEX('Cash Flow'!$B$33:$Q$33,COUNTIF('Cash Flow'!$B$34:$Q$34,"&lt;0")+1)),"N/A")</f>
        <v>3.7549603934902045</v>
      </c>
      <c r="C15" s="157" t="s">
        <v>446</v>
      </c>
      <c r="D15" s="158" t="s">
        <v>455</v>
      </c>
      <c r="E15" s="117"/>
      <c r="F15" s="117"/>
      <c r="G15" s="117"/>
      <c r="H15" s="117"/>
      <c r="I15" s="117"/>
      <c r="J15" s="117"/>
      <c r="K15" s="117"/>
      <c r="L15" s="117"/>
      <c r="M15" s="117"/>
      <c r="N15" s="117"/>
      <c r="O15" s="117"/>
      <c r="P15" s="117"/>
      <c r="Q15" s="117"/>
      <c r="R15" s="117"/>
      <c r="S15" s="117"/>
    </row>
    <row r="16" spans="1:19" s="159" customFormat="1" ht="94.5" hidden="1" customHeight="1" outlineLevel="1" x14ac:dyDescent="0.25">
      <c r="A16" s="123" t="s">
        <v>456</v>
      </c>
      <c r="B16" s="156">
        <f>IFERROR((COUNTIF($B$7:$Q$7,"&lt;0")-1)+(-INDEX($B$7:$Q$7,COUNTIF($B$7:$Q$7,"&lt;0"))/(INDEX($B$7:$Q$7,COUNTIF($B$7:$Q$7,"&lt;0")+1)-INDEX($B$7:$Q$7,COUNTIF($B$7:$Q$7,"&lt;0")))),"N/A")</f>
        <v>4.9423012633199113</v>
      </c>
      <c r="C16" s="157" t="s">
        <v>446</v>
      </c>
      <c r="D16" s="158" t="s">
        <v>457</v>
      </c>
      <c r="E16" s="117"/>
      <c r="F16" s="117"/>
      <c r="G16" s="117"/>
      <c r="H16" s="117"/>
      <c r="I16" s="117"/>
      <c r="J16" s="117"/>
      <c r="K16" s="117"/>
      <c r="L16" s="117"/>
      <c r="M16" s="117"/>
      <c r="N16" s="117"/>
      <c r="O16" s="117"/>
      <c r="P16" s="117"/>
      <c r="Q16" s="117"/>
      <c r="R16" s="117"/>
      <c r="S16" s="117"/>
    </row>
    <row r="17" spans="1:19" s="159" customFormat="1" ht="13.5" customHeight="1" collapsed="1" x14ac:dyDescent="0.25">
      <c r="A17" s="116"/>
      <c r="B17" s="117"/>
      <c r="C17" s="117"/>
      <c r="D17" s="117"/>
      <c r="E17" s="117"/>
      <c r="F17" s="117"/>
      <c r="G17" s="117"/>
      <c r="H17" s="117"/>
      <c r="I17" s="117"/>
      <c r="J17" s="117"/>
      <c r="K17" s="117"/>
      <c r="L17" s="117"/>
      <c r="M17" s="117"/>
      <c r="N17" s="117"/>
      <c r="O17" s="117"/>
      <c r="P17" s="117"/>
      <c r="Q17" s="117"/>
      <c r="R17" s="117"/>
      <c r="S17" s="117"/>
    </row>
    <row r="18" spans="1:19" s="159" customFormat="1" ht="13.5" customHeight="1" x14ac:dyDescent="0.25">
      <c r="A18" s="167" t="s">
        <v>458</v>
      </c>
      <c r="B18" s="117"/>
      <c r="C18" s="117"/>
      <c r="E18" s="117"/>
      <c r="F18" s="117"/>
      <c r="G18" s="117"/>
      <c r="H18" s="117"/>
      <c r="I18" s="117"/>
      <c r="J18" s="117"/>
      <c r="K18" s="117"/>
      <c r="L18" s="117"/>
      <c r="M18" s="117"/>
      <c r="N18" s="117"/>
      <c r="O18" s="117"/>
      <c r="P18" s="117"/>
      <c r="Q18" s="117"/>
      <c r="R18" s="117"/>
      <c r="S18" s="117"/>
    </row>
    <row r="19" spans="1:19" s="159" customFormat="1" ht="42.75" customHeight="1" x14ac:dyDescent="0.25">
      <c r="A19" s="263" t="s">
        <v>459</v>
      </c>
      <c r="B19" s="263"/>
      <c r="C19" s="263"/>
      <c r="D19" s="263"/>
      <c r="E19" s="117"/>
      <c r="F19" s="117"/>
      <c r="G19" s="117"/>
      <c r="H19" s="117"/>
      <c r="I19" s="117"/>
      <c r="J19" s="117"/>
      <c r="K19" s="117"/>
      <c r="L19" s="117"/>
      <c r="M19" s="117"/>
      <c r="N19" s="117"/>
      <c r="O19" s="117"/>
      <c r="P19" s="117"/>
      <c r="Q19" s="117"/>
      <c r="R19" s="117"/>
      <c r="S19" s="117"/>
    </row>
    <row r="20" spans="1:19" s="159" customFormat="1" x14ac:dyDescent="0.25">
      <c r="A20" s="1"/>
      <c r="B20" s="1"/>
      <c r="C20" s="1"/>
      <c r="D20" s="1"/>
      <c r="E20" s="117"/>
      <c r="F20" s="117"/>
      <c r="G20" s="117"/>
      <c r="H20" s="117"/>
      <c r="I20" s="117"/>
      <c r="J20" s="117"/>
      <c r="K20" s="117"/>
      <c r="L20" s="117"/>
      <c r="M20" s="117"/>
      <c r="N20" s="117"/>
      <c r="O20" s="117"/>
      <c r="P20" s="117"/>
      <c r="Q20" s="117"/>
      <c r="R20" s="117"/>
      <c r="S20" s="117"/>
    </row>
    <row r="21" spans="1:19" s="159" customFormat="1" ht="14.25" customHeight="1" x14ac:dyDescent="0.25">
      <c r="A21" s="168" t="s">
        <v>196</v>
      </c>
      <c r="B21" s="169" t="s">
        <v>40</v>
      </c>
      <c r="C21" s="169" t="s">
        <v>41</v>
      </c>
      <c r="D21" s="169" t="s">
        <v>222</v>
      </c>
      <c r="E21" s="117"/>
      <c r="F21" s="117"/>
      <c r="G21" s="117"/>
      <c r="H21" s="117"/>
      <c r="I21" s="117"/>
      <c r="J21" s="117"/>
      <c r="K21" s="117"/>
      <c r="L21" s="117"/>
      <c r="M21" s="117"/>
      <c r="N21" s="117"/>
      <c r="O21" s="117"/>
      <c r="P21" s="117"/>
      <c r="Q21" s="117"/>
      <c r="R21" s="117"/>
      <c r="S21" s="117"/>
    </row>
    <row r="22" spans="1:19" s="159" customFormat="1" ht="75" customHeight="1" x14ac:dyDescent="0.25">
      <c r="A22" s="123" t="s">
        <v>460</v>
      </c>
      <c r="B22" s="170">
        <f>NPV(WACC,'Cash Flow'!C37:Q37)</f>
        <v>509073670.06985587</v>
      </c>
      <c r="C22" s="171" t="s">
        <v>461</v>
      </c>
      <c r="D22" s="172" t="s">
        <v>462</v>
      </c>
      <c r="E22" s="117"/>
      <c r="F22" s="117"/>
      <c r="G22" s="117"/>
      <c r="H22" s="117"/>
      <c r="I22" s="117"/>
      <c r="J22" s="117"/>
      <c r="K22" s="117"/>
      <c r="L22" s="117"/>
      <c r="M22" s="117"/>
      <c r="N22" s="117"/>
      <c r="O22" s="117"/>
      <c r="P22" s="117"/>
      <c r="Q22" s="117"/>
      <c r="R22" s="117"/>
      <c r="S22" s="117"/>
    </row>
    <row r="23" spans="1:19" s="159" customFormat="1" ht="75" customHeight="1" x14ac:dyDescent="0.25">
      <c r="A23" s="123" t="s">
        <v>463</v>
      </c>
      <c r="B23" s="170">
        <f>NPV(WACC,'Cash Flow'!C38:Q38)</f>
        <v>-658475507.5869652</v>
      </c>
      <c r="C23" s="171" t="s">
        <v>10</v>
      </c>
      <c r="D23" s="172" t="s">
        <v>464</v>
      </c>
      <c r="E23" s="117"/>
      <c r="F23" s="117"/>
      <c r="G23" s="117"/>
      <c r="H23" s="117"/>
      <c r="I23" s="117"/>
      <c r="J23" s="117"/>
      <c r="K23" s="117"/>
      <c r="L23" s="117"/>
      <c r="M23" s="117"/>
      <c r="N23" s="117"/>
      <c r="O23" s="117"/>
      <c r="P23" s="117"/>
      <c r="Q23" s="117"/>
      <c r="R23" s="117"/>
      <c r="S23" s="117"/>
    </row>
    <row r="24" spans="1:19" s="159" customFormat="1" ht="31.5" customHeight="1" x14ac:dyDescent="0.25">
      <c r="A24" s="123" t="s">
        <v>465</v>
      </c>
      <c r="B24" s="173">
        <f>CAPEX_Inicial_Total</f>
        <v>-739200000</v>
      </c>
      <c r="C24" s="171" t="s">
        <v>10</v>
      </c>
      <c r="D24" s="172"/>
      <c r="E24" s="117"/>
      <c r="F24" s="117"/>
      <c r="G24" s="117"/>
      <c r="H24" s="117"/>
      <c r="I24" s="117"/>
      <c r="J24" s="117"/>
      <c r="K24" s="117"/>
      <c r="L24" s="117"/>
      <c r="M24" s="117"/>
      <c r="N24" s="117"/>
      <c r="O24" s="117"/>
      <c r="P24" s="117"/>
      <c r="Q24" s="117"/>
      <c r="R24" s="117"/>
      <c r="S24" s="117"/>
    </row>
    <row r="25" spans="1:19" s="159" customFormat="1" ht="30" customHeight="1" x14ac:dyDescent="0.25">
      <c r="A25" s="174" t="s">
        <v>466</v>
      </c>
      <c r="B25" s="175">
        <f>-(B24+B23)/B22</f>
        <v>2.7455270027915093</v>
      </c>
      <c r="C25" s="171" t="s">
        <v>60</v>
      </c>
      <c r="D25" s="172" t="s">
        <v>467</v>
      </c>
      <c r="E25" s="117"/>
      <c r="F25" s="117"/>
      <c r="G25" s="117"/>
      <c r="H25" s="117"/>
      <c r="I25" s="117"/>
      <c r="J25" s="117"/>
      <c r="K25" s="117"/>
      <c r="L25" s="117"/>
      <c r="M25" s="117"/>
      <c r="N25" s="117"/>
      <c r="O25" s="117"/>
      <c r="P25" s="117"/>
      <c r="Q25" s="117"/>
      <c r="R25" s="117"/>
      <c r="S25" s="117"/>
    </row>
    <row r="26" spans="1:19" s="159" customFormat="1" ht="31.5" customHeight="1" x14ac:dyDescent="0.25">
      <c r="A26" s="123" t="s">
        <v>468</v>
      </c>
      <c r="B26" s="176">
        <f>Precio_Cobre</f>
        <v>4.2</v>
      </c>
      <c r="C26" s="171" t="s">
        <v>60</v>
      </c>
      <c r="D26" s="172"/>
      <c r="E26" s="117"/>
      <c r="F26" s="117"/>
      <c r="G26" s="117"/>
      <c r="H26" s="117"/>
      <c r="I26" s="117"/>
      <c r="J26" s="117"/>
      <c r="K26" s="117"/>
      <c r="L26" s="117"/>
      <c r="M26" s="117"/>
      <c r="N26" s="117"/>
      <c r="O26" s="117"/>
      <c r="P26" s="117"/>
      <c r="Q26" s="117"/>
      <c r="R26" s="117"/>
      <c r="S26" s="117"/>
    </row>
    <row r="27" spans="1:19" s="159" customFormat="1" ht="120" customHeight="1" x14ac:dyDescent="0.25">
      <c r="A27" s="123" t="s">
        <v>469</v>
      </c>
      <c r="B27" s="177">
        <f>(B26-B25)/B26</f>
        <v>0.34630309457345021</v>
      </c>
      <c r="C27" s="171" t="s">
        <v>54</v>
      </c>
      <c r="D27" s="172" t="s">
        <v>470</v>
      </c>
      <c r="E27" s="117"/>
      <c r="F27" s="117"/>
      <c r="G27" s="117"/>
      <c r="H27" s="117"/>
      <c r="I27" s="117"/>
      <c r="J27" s="117"/>
      <c r="K27" s="117"/>
      <c r="L27" s="117"/>
      <c r="M27" s="117"/>
      <c r="N27" s="117"/>
      <c r="O27" s="117"/>
      <c r="P27" s="117"/>
      <c r="Q27" s="117"/>
      <c r="R27" s="117"/>
      <c r="S27" s="117"/>
    </row>
    <row r="28" spans="1:19" s="159" customFormat="1" ht="31.5" customHeight="1" x14ac:dyDescent="0.25">
      <c r="A28" s="123" t="s">
        <v>471</v>
      </c>
      <c r="B28" s="178">
        <f>B24+B22*B25+B23</f>
        <v>0</v>
      </c>
      <c r="C28" s="171" t="s">
        <v>10</v>
      </c>
      <c r="D28" s="172"/>
      <c r="E28" s="117"/>
      <c r="F28" s="117"/>
      <c r="G28" s="117"/>
      <c r="H28" s="117"/>
      <c r="I28" s="117"/>
      <c r="J28" s="117"/>
      <c r="K28" s="117"/>
      <c r="L28" s="117"/>
      <c r="M28" s="117"/>
      <c r="N28" s="117"/>
      <c r="O28" s="117"/>
      <c r="P28" s="117"/>
      <c r="Q28" s="117"/>
      <c r="R28" s="117"/>
      <c r="S28" s="117"/>
    </row>
    <row r="29" spans="1:19" s="159" customFormat="1" ht="13.5" customHeight="1" x14ac:dyDescent="0.25">
      <c r="A29" s="116"/>
      <c r="B29" s="117"/>
      <c r="C29" s="117"/>
      <c r="D29" s="117"/>
      <c r="E29" s="117"/>
      <c r="F29" s="117"/>
      <c r="G29" s="117"/>
      <c r="H29" s="117"/>
      <c r="I29" s="117"/>
      <c r="J29" s="117"/>
      <c r="K29" s="117"/>
      <c r="L29" s="117"/>
      <c r="M29" s="117"/>
      <c r="N29" s="117"/>
      <c r="O29" s="117"/>
      <c r="P29" s="117"/>
      <c r="Q29" s="117"/>
      <c r="R29" s="117"/>
      <c r="S29" s="117"/>
    </row>
    <row r="30" spans="1:19" ht="13.5" customHeight="1" x14ac:dyDescent="0.25">
      <c r="A30" s="108"/>
      <c r="B30" s="109"/>
      <c r="C30" s="109"/>
      <c r="D30" s="109"/>
      <c r="E30" s="109"/>
      <c r="F30" s="109"/>
      <c r="G30" s="109"/>
      <c r="H30" s="109"/>
      <c r="I30" s="109"/>
      <c r="J30" s="109"/>
      <c r="K30" s="109"/>
      <c r="L30" s="109"/>
      <c r="M30" s="109"/>
      <c r="N30" s="109"/>
      <c r="O30" s="109"/>
      <c r="P30" s="109"/>
      <c r="Q30" s="109"/>
      <c r="R30" s="109"/>
      <c r="S30" s="109"/>
    </row>
    <row r="32" spans="1:19" x14ac:dyDescent="0.25">
      <c r="B32" s="179"/>
    </row>
  </sheetData>
  <mergeCells count="3">
    <mergeCell ref="A4:R4"/>
    <mergeCell ref="A9:D9"/>
    <mergeCell ref="A19:D19"/>
  </mergeCells>
  <pageMargins left="0.75" right="0.75" top="1" bottom="1" header="0.511811023622047" footer="0.511811023622047"/>
  <pageSetup paperSize="9" orientation="portrait" horizontalDpi="300" verticalDpi="300"/>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299"/>
  <sheetViews>
    <sheetView showGridLines="0" zoomScale="90" zoomScaleNormal="90" workbookViewId="0">
      <pane xSplit="1" ySplit="7" topLeftCell="B45" activePane="bottomRight" state="frozen"/>
      <selection pane="topRight" activeCell="B1" sqref="B1"/>
      <selection pane="bottomLeft" activeCell="A45" sqref="A45"/>
      <selection pane="bottomRight" activeCell="G55" sqref="G55"/>
    </sheetView>
  </sheetViews>
  <sheetFormatPr baseColWidth="10" defaultColWidth="42" defaultRowHeight="15" x14ac:dyDescent="0.25"/>
  <cols>
    <col min="1" max="1" width="7" style="6" customWidth="1"/>
    <col min="2" max="2" width="42" style="85"/>
    <col min="3" max="3" width="15.7109375" style="6" customWidth="1"/>
    <col min="4" max="4" width="13" style="6" customWidth="1"/>
    <col min="5" max="5" width="19.42578125" style="6" customWidth="1"/>
    <col min="6" max="6" width="15.42578125" style="6" customWidth="1"/>
    <col min="7" max="7" width="17" style="6" customWidth="1"/>
    <col min="8" max="11" width="16" style="6" customWidth="1"/>
    <col min="12" max="12" width="21.85546875" style="6" customWidth="1"/>
    <col min="13" max="13" width="14.42578125" style="6" customWidth="1"/>
    <col min="14" max="15" width="14" style="6" customWidth="1"/>
    <col min="16" max="21" width="42" style="6"/>
    <col min="25" max="16384" width="42" style="6"/>
  </cols>
  <sheetData>
    <row r="1" spans="2:12" ht="27" customHeight="1" x14ac:dyDescent="0.25">
      <c r="B1" s="180" t="s">
        <v>472</v>
      </c>
      <c r="F1" s="11"/>
      <c r="G1" s="11"/>
      <c r="H1" s="11"/>
      <c r="I1" s="11"/>
      <c r="J1" s="11"/>
      <c r="K1" s="11"/>
      <c r="L1" s="11"/>
    </row>
    <row r="2" spans="2:12" ht="30" customHeight="1" x14ac:dyDescent="0.25">
      <c r="B2" s="73" t="s">
        <v>473</v>
      </c>
      <c r="F2" s="73"/>
      <c r="G2" s="73"/>
      <c r="H2" s="73"/>
      <c r="I2" s="73"/>
      <c r="J2" s="73"/>
      <c r="K2" s="73"/>
      <c r="L2" s="73"/>
    </row>
    <row r="3" spans="2:12" ht="39.75" customHeight="1" x14ac:dyDescent="0.25">
      <c r="B3" s="5" t="s">
        <v>474</v>
      </c>
      <c r="F3" s="5"/>
      <c r="G3" s="5"/>
      <c r="H3" s="5"/>
      <c r="I3" s="5"/>
      <c r="J3" s="5"/>
      <c r="K3" s="5"/>
      <c r="L3" s="5"/>
    </row>
    <row r="4" spans="2:12" ht="39.75" customHeight="1" x14ac:dyDescent="0.25">
      <c r="B4" s="5" t="s">
        <v>475</v>
      </c>
      <c r="F4" s="5"/>
      <c r="G4" s="5"/>
      <c r="H4" s="5"/>
      <c r="I4" s="5"/>
      <c r="J4" s="5"/>
      <c r="K4" s="5"/>
      <c r="L4" s="5"/>
    </row>
    <row r="5" spans="2:12" ht="13.5" customHeight="1" x14ac:dyDescent="0.25">
      <c r="B5" s="86"/>
      <c r="F5" s="11"/>
      <c r="G5" s="11"/>
      <c r="H5" s="11"/>
      <c r="I5" s="11"/>
      <c r="J5" s="11"/>
      <c r="K5" s="11"/>
      <c r="L5" s="11"/>
    </row>
    <row r="6" spans="2:12" ht="13.5" customHeight="1" x14ac:dyDescent="0.25">
      <c r="B6" s="2" t="s">
        <v>476</v>
      </c>
      <c r="F6" s="2"/>
      <c r="G6" s="2"/>
      <c r="H6" s="2"/>
      <c r="I6" s="2"/>
      <c r="J6" s="2"/>
      <c r="K6" s="2"/>
      <c r="L6" s="2"/>
    </row>
    <row r="7" spans="2:12" ht="15" customHeight="1" x14ac:dyDescent="0.25">
      <c r="B7" s="181" t="s">
        <v>477</v>
      </c>
      <c r="F7" s="53" t="s">
        <v>54</v>
      </c>
      <c r="G7" s="182">
        <v>-0.2</v>
      </c>
      <c r="H7" s="182">
        <v>-0.1</v>
      </c>
      <c r="I7" s="183">
        <v>0</v>
      </c>
      <c r="J7" s="184">
        <v>0.1</v>
      </c>
      <c r="K7" s="184">
        <v>0.2</v>
      </c>
      <c r="L7" s="11"/>
    </row>
    <row r="8" spans="2:12" ht="15" customHeight="1" x14ac:dyDescent="0.25">
      <c r="B8" s="73" t="s">
        <v>478</v>
      </c>
      <c r="F8" s="73"/>
      <c r="G8" s="73"/>
      <c r="H8" s="73"/>
      <c r="I8" s="73"/>
      <c r="J8" s="73"/>
      <c r="K8" s="73"/>
      <c r="L8" s="73"/>
    </row>
    <row r="9" spans="2:12" ht="13.5" customHeight="1" x14ac:dyDescent="0.25">
      <c r="B9" s="86"/>
      <c r="F9" s="11"/>
      <c r="G9" s="11"/>
      <c r="H9" s="11"/>
      <c r="I9" s="11"/>
      <c r="J9" s="11"/>
      <c r="K9" s="11"/>
      <c r="L9" s="11"/>
    </row>
    <row r="10" spans="2:12" s="88" customFormat="1" ht="30" customHeight="1" x14ac:dyDescent="0.25">
      <c r="B10" s="185" t="s">
        <v>479</v>
      </c>
      <c r="C10" s="185"/>
      <c r="D10" s="185"/>
      <c r="E10" s="185"/>
      <c r="F10" s="185"/>
      <c r="G10" s="185"/>
      <c r="H10" s="185"/>
      <c r="I10" s="11"/>
    </row>
    <row r="11" spans="2:12" ht="13.5" customHeight="1" x14ac:dyDescent="0.25">
      <c r="B11" s="186" t="s">
        <v>39</v>
      </c>
      <c r="C11" s="186" t="s">
        <v>41</v>
      </c>
      <c r="D11" s="187" t="s">
        <v>480</v>
      </c>
      <c r="E11" s="188" t="s">
        <v>481</v>
      </c>
      <c r="F11" s="189" t="s">
        <v>482</v>
      </c>
      <c r="G11" s="188" t="s">
        <v>483</v>
      </c>
      <c r="H11" s="190" t="s">
        <v>484</v>
      </c>
      <c r="I11" s="11"/>
    </row>
    <row r="12" spans="2:12" ht="13.5" customHeight="1" x14ac:dyDescent="0.25">
      <c r="B12" s="191" t="s">
        <v>227</v>
      </c>
      <c r="C12" s="53" t="s">
        <v>60</v>
      </c>
      <c r="D12" s="84">
        <f>C46</f>
        <v>312812023.84775066</v>
      </c>
      <c r="E12" s="192">
        <f>C48</f>
        <v>740433906.706429</v>
      </c>
      <c r="F12" s="84">
        <f>C50</f>
        <v>1168055789.5651081</v>
      </c>
      <c r="G12" s="84">
        <f>ABS(F12-D12)</f>
        <v>855243765.7173574</v>
      </c>
      <c r="H12" s="193">
        <f>RANK(G12,$G$12:$G$16,0)</f>
        <v>1</v>
      </c>
      <c r="I12" s="194" t="s">
        <v>485</v>
      </c>
    </row>
    <row r="13" spans="2:12" ht="13.5" customHeight="1" x14ac:dyDescent="0.25">
      <c r="B13" s="191" t="s">
        <v>486</v>
      </c>
      <c r="C13" s="53" t="s">
        <v>50</v>
      </c>
      <c r="D13" s="84">
        <f>C58</f>
        <v>351415050.12588811</v>
      </c>
      <c r="E13" s="192">
        <f>C60</f>
        <v>758129766.99579787</v>
      </c>
      <c r="F13" s="84">
        <f>C62</f>
        <v>1164844483.8657076</v>
      </c>
      <c r="G13" s="84">
        <f>ABS(F13-D13)</f>
        <v>813429433.73981953</v>
      </c>
      <c r="H13" s="193">
        <f>RANK(G13,$G$12:$G$16,0)</f>
        <v>3</v>
      </c>
      <c r="I13" s="194" t="s">
        <v>485</v>
      </c>
    </row>
    <row r="14" spans="2:12" ht="13.5" customHeight="1" x14ac:dyDescent="0.25">
      <c r="B14" s="191" t="s">
        <v>205</v>
      </c>
      <c r="C14" s="53" t="s">
        <v>54</v>
      </c>
      <c r="D14" s="84">
        <f>C70</f>
        <v>351415050.12588811</v>
      </c>
      <c r="E14" s="192">
        <f>C72</f>
        <v>758129766.99579787</v>
      </c>
      <c r="F14" s="84">
        <f>C74</f>
        <v>1164844483.8657079</v>
      </c>
      <c r="G14" s="84">
        <f>ABS(F14-D14)</f>
        <v>813429433.73981977</v>
      </c>
      <c r="H14" s="193">
        <f>RANK(G14,$G$12:$G$16,0)</f>
        <v>2</v>
      </c>
      <c r="I14" s="194" t="s">
        <v>485</v>
      </c>
    </row>
    <row r="15" spans="2:12" ht="13.5" customHeight="1" x14ac:dyDescent="0.25">
      <c r="B15" s="191" t="s">
        <v>307</v>
      </c>
      <c r="C15" s="53" t="s">
        <v>10</v>
      </c>
      <c r="D15" s="84">
        <f>C82</f>
        <v>879731835.13083696</v>
      </c>
      <c r="E15" s="192">
        <f>C84</f>
        <v>758129766.99579787</v>
      </c>
      <c r="F15" s="84">
        <f>C86</f>
        <v>636527698.86075926</v>
      </c>
      <c r="G15" s="84">
        <f>ABS(F15-D15)</f>
        <v>243204136.27007771</v>
      </c>
      <c r="H15" s="193">
        <f>RANK(G15,$G$12:$G$16,0)</f>
        <v>5</v>
      </c>
      <c r="I15" s="195" t="s">
        <v>487</v>
      </c>
    </row>
    <row r="16" spans="2:12" ht="15" customHeight="1" x14ac:dyDescent="0.25">
      <c r="B16" s="191" t="s">
        <v>263</v>
      </c>
      <c r="C16" s="53" t="s">
        <v>10</v>
      </c>
      <c r="D16" s="84">
        <f>C94</f>
        <v>873920602.04214096</v>
      </c>
      <c r="E16" s="192">
        <f>C96</f>
        <v>740433906.70642924</v>
      </c>
      <c r="F16" s="84">
        <f>C98</f>
        <v>606947211.370718</v>
      </c>
      <c r="G16" s="84">
        <f>ABS(F16-D16)</f>
        <v>266973390.67142296</v>
      </c>
      <c r="H16" s="193">
        <f>RANK(G16,$G$12:$G$16,0)</f>
        <v>4</v>
      </c>
      <c r="I16" s="195" t="s">
        <v>487</v>
      </c>
    </row>
    <row r="17" spans="2:13" ht="15" customHeight="1" x14ac:dyDescent="0.25">
      <c r="B17" s="73" t="s">
        <v>488</v>
      </c>
      <c r="F17" s="73"/>
      <c r="G17" s="73"/>
      <c r="H17" s="73"/>
      <c r="I17" s="73"/>
      <c r="J17" s="73"/>
      <c r="K17" s="73"/>
      <c r="L17" s="73"/>
    </row>
    <row r="18" spans="2:13" ht="13.5" customHeight="1" x14ac:dyDescent="0.25">
      <c r="B18" s="86"/>
      <c r="F18" s="11"/>
      <c r="G18" s="11"/>
      <c r="H18" s="11"/>
      <c r="I18" s="11"/>
      <c r="J18" s="11"/>
      <c r="K18" s="11"/>
      <c r="L18" s="11"/>
    </row>
    <row r="19" spans="2:13" ht="13.5" customHeight="1" x14ac:dyDescent="0.25">
      <c r="B19" s="86"/>
      <c r="F19" s="11"/>
      <c r="G19" s="11"/>
      <c r="H19" s="11"/>
      <c r="I19" s="11"/>
      <c r="J19" s="11"/>
      <c r="K19" s="11"/>
      <c r="L19" s="196" t="s">
        <v>489</v>
      </c>
    </row>
    <row r="20" spans="2:13" ht="13.5" customHeight="1" x14ac:dyDescent="0.25">
      <c r="B20" s="86"/>
      <c r="F20" s="11"/>
      <c r="G20" s="11"/>
      <c r="H20" s="11"/>
      <c r="I20" s="11"/>
      <c r="J20" s="11"/>
      <c r="K20" s="11"/>
      <c r="L20" s="196"/>
    </row>
    <row r="21" spans="2:13" ht="13.5" customHeight="1" x14ac:dyDescent="0.25">
      <c r="B21" s="86"/>
      <c r="F21" s="11"/>
      <c r="G21" s="11"/>
      <c r="H21" s="11"/>
      <c r="I21" s="11"/>
      <c r="J21" s="11"/>
      <c r="K21" s="11"/>
      <c r="L21" s="196"/>
    </row>
    <row r="22" spans="2:13" ht="13.5" customHeight="1" x14ac:dyDescent="0.25">
      <c r="B22" s="86"/>
      <c r="F22" s="11"/>
      <c r="G22" s="11"/>
      <c r="H22" s="11"/>
      <c r="I22" s="11"/>
      <c r="J22" s="11"/>
      <c r="K22" s="11"/>
      <c r="L22" s="196"/>
    </row>
    <row r="23" spans="2:13" ht="13.5" customHeight="1" x14ac:dyDescent="0.25">
      <c r="B23" s="86"/>
      <c r="F23" s="11"/>
      <c r="G23" s="11"/>
      <c r="H23" s="11"/>
      <c r="I23" s="11"/>
      <c r="J23" s="11"/>
      <c r="K23" s="11"/>
      <c r="L23" s="11"/>
    </row>
    <row r="24" spans="2:13" ht="13.5" customHeight="1" x14ac:dyDescent="0.25">
      <c r="B24" s="86"/>
      <c r="F24" s="11"/>
      <c r="G24" s="11"/>
      <c r="H24" s="11"/>
      <c r="I24" s="11"/>
      <c r="J24" s="11"/>
      <c r="K24" s="197"/>
      <c r="L24" s="197"/>
    </row>
    <row r="25" spans="2:13" ht="13.5" customHeight="1" x14ac:dyDescent="0.25">
      <c r="B25" s="86"/>
      <c r="F25" s="11"/>
      <c r="G25" s="11"/>
      <c r="H25" s="11"/>
      <c r="I25" s="11"/>
      <c r="J25" s="11"/>
      <c r="K25" s="197"/>
      <c r="L25" s="198" t="s">
        <v>490</v>
      </c>
      <c r="M25" s="198" t="s">
        <v>491</v>
      </c>
    </row>
    <row r="26" spans="2:13" ht="13.5" customHeight="1" x14ac:dyDescent="0.25">
      <c r="B26" s="86"/>
      <c r="F26" s="11"/>
      <c r="G26" s="11"/>
      <c r="H26" s="11"/>
      <c r="I26" s="11"/>
      <c r="J26" s="11"/>
      <c r="K26" s="197"/>
      <c r="L26" s="199">
        <f>MIN(D12,F12)</f>
        <v>312812023.84775066</v>
      </c>
      <c r="M26" s="199">
        <f>G12</f>
        <v>855243765.7173574</v>
      </c>
    </row>
    <row r="27" spans="2:13" ht="13.5" customHeight="1" x14ac:dyDescent="0.25">
      <c r="B27" s="86"/>
      <c r="F27" s="11"/>
      <c r="G27" s="11"/>
      <c r="H27" s="11"/>
      <c r="I27" s="11"/>
      <c r="J27" s="11"/>
      <c r="K27" s="197"/>
      <c r="L27" s="199">
        <f>MIN(D13,F13)</f>
        <v>351415050.12588811</v>
      </c>
      <c r="M27" s="199">
        <f>G13</f>
        <v>813429433.73981953</v>
      </c>
    </row>
    <row r="28" spans="2:13" ht="13.5" customHeight="1" x14ac:dyDescent="0.25">
      <c r="B28" s="86"/>
      <c r="F28" s="11"/>
      <c r="G28" s="11"/>
      <c r="H28" s="11"/>
      <c r="I28" s="11"/>
      <c r="J28" s="11"/>
      <c r="K28" s="197"/>
      <c r="L28" s="199">
        <f>MIN(D14,F14)</f>
        <v>351415050.12588811</v>
      </c>
      <c r="M28" s="199">
        <f>G14</f>
        <v>813429433.73981977</v>
      </c>
    </row>
    <row r="29" spans="2:13" ht="13.5" customHeight="1" x14ac:dyDescent="0.25">
      <c r="B29" s="86"/>
      <c r="F29" s="11"/>
      <c r="G29" s="11"/>
      <c r="H29" s="11"/>
      <c r="I29" s="11"/>
      <c r="J29" s="11"/>
      <c r="K29" s="11"/>
      <c r="L29" s="199">
        <f>MIN(D15,F15)</f>
        <v>636527698.86075926</v>
      </c>
      <c r="M29" s="199">
        <f>G15</f>
        <v>243204136.27007771</v>
      </c>
    </row>
    <row r="30" spans="2:13" ht="13.5" customHeight="1" x14ac:dyDescent="0.25">
      <c r="B30" s="86"/>
      <c r="F30" s="11"/>
      <c r="G30" s="11"/>
      <c r="H30" s="11"/>
      <c r="I30" s="11"/>
      <c r="J30" s="11"/>
      <c r="K30" s="11"/>
      <c r="L30" s="199">
        <f>MIN(D16,F16)</f>
        <v>606947211.370718</v>
      </c>
      <c r="M30" s="199">
        <f>G16</f>
        <v>266973390.67142296</v>
      </c>
    </row>
    <row r="31" spans="2:13" ht="13.5" customHeight="1" x14ac:dyDescent="0.25">
      <c r="B31" s="86"/>
      <c r="F31" s="11"/>
      <c r="G31" s="11"/>
      <c r="H31" s="11"/>
      <c r="I31" s="11"/>
      <c r="J31" s="11"/>
      <c r="K31" s="11"/>
      <c r="L31" s="11"/>
    </row>
    <row r="32" spans="2:13" ht="13.5" customHeight="1" x14ac:dyDescent="0.25">
      <c r="B32" s="86"/>
      <c r="F32" s="11"/>
      <c r="G32" s="11"/>
      <c r="H32" s="11"/>
      <c r="I32" s="11"/>
      <c r="J32" s="11"/>
      <c r="K32" s="11"/>
      <c r="L32" s="11"/>
    </row>
    <row r="33" spans="1:32" ht="13.5" customHeight="1" x14ac:dyDescent="0.25">
      <c r="B33" s="86"/>
      <c r="F33" s="11"/>
      <c r="G33" s="11"/>
      <c r="H33" s="11"/>
      <c r="I33" s="11"/>
      <c r="J33" s="11"/>
      <c r="K33" s="11"/>
      <c r="L33" s="11"/>
    </row>
    <row r="34" spans="1:32" ht="13.5" customHeight="1" x14ac:dyDescent="0.25">
      <c r="B34" s="86"/>
      <c r="F34" s="11"/>
      <c r="G34" s="11"/>
      <c r="H34" s="11"/>
      <c r="I34" s="11"/>
      <c r="J34" s="11"/>
      <c r="K34" s="11"/>
      <c r="L34" s="11"/>
    </row>
    <row r="35" spans="1:32" ht="13.5" customHeight="1" x14ac:dyDescent="0.25">
      <c r="B35" s="86"/>
      <c r="F35" s="11"/>
      <c r="G35" s="11"/>
      <c r="H35" s="11"/>
      <c r="I35" s="11"/>
      <c r="J35" s="11"/>
      <c r="K35" s="11"/>
      <c r="L35" s="11"/>
    </row>
    <row r="36" spans="1:32" ht="13.5" customHeight="1" x14ac:dyDescent="0.25">
      <c r="B36" s="86"/>
      <c r="F36" s="11"/>
      <c r="G36" s="11"/>
      <c r="H36" s="11"/>
      <c r="I36" s="11"/>
      <c r="J36" s="11"/>
      <c r="K36" s="11"/>
      <c r="L36" s="11"/>
    </row>
    <row r="37" spans="1:32" ht="13.5" customHeight="1" x14ac:dyDescent="0.25">
      <c r="B37" s="86"/>
      <c r="F37" s="11"/>
      <c r="G37" s="11"/>
      <c r="H37" s="11"/>
      <c r="I37" s="11"/>
      <c r="J37" s="11"/>
      <c r="K37" s="11"/>
      <c r="L37" s="11"/>
    </row>
    <row r="38" spans="1:32" ht="13.5" customHeight="1" x14ac:dyDescent="0.25">
      <c r="A38" s="109"/>
      <c r="B38" s="4" t="s">
        <v>492</v>
      </c>
      <c r="C38" s="4"/>
      <c r="D38" s="4"/>
      <c r="E38" s="109"/>
      <c r="F38" s="4"/>
      <c r="G38" s="4"/>
      <c r="H38" s="4"/>
      <c r="I38" s="4"/>
      <c r="J38" s="4"/>
      <c r="K38" s="4"/>
      <c r="L38" s="4"/>
      <c r="M38" s="4"/>
      <c r="N38" s="4"/>
      <c r="O38" s="4"/>
      <c r="P38" s="4"/>
      <c r="Q38" s="4"/>
      <c r="R38" s="4"/>
      <c r="S38" s="4"/>
      <c r="T38" s="4"/>
      <c r="U38" s="4"/>
      <c r="Y38" s="109"/>
      <c r="Z38" s="109"/>
      <c r="AA38" s="109"/>
      <c r="AB38" s="109"/>
      <c r="AC38" s="109"/>
      <c r="AD38" s="109"/>
      <c r="AE38" s="109"/>
      <c r="AF38" s="109"/>
    </row>
    <row r="39" spans="1:32" ht="13.5" customHeight="1" x14ac:dyDescent="0.25">
      <c r="A39" s="109"/>
      <c r="B39" s="108"/>
      <c r="C39" s="109"/>
      <c r="D39" s="109"/>
      <c r="E39" s="109"/>
      <c r="F39" s="109"/>
      <c r="G39" s="109"/>
      <c r="H39" s="109"/>
      <c r="I39" s="109"/>
      <c r="J39" s="109"/>
      <c r="K39" s="109"/>
      <c r="L39" s="109"/>
      <c r="M39" s="109"/>
      <c r="N39" s="109"/>
      <c r="O39" s="109"/>
      <c r="P39" s="109"/>
      <c r="Q39" s="109"/>
      <c r="R39" s="109"/>
      <c r="S39" s="109"/>
      <c r="T39" s="109"/>
      <c r="U39" s="109"/>
      <c r="Y39" s="109"/>
      <c r="Z39" s="109"/>
      <c r="AA39" s="109"/>
      <c r="AB39" s="109"/>
      <c r="AC39" s="109"/>
      <c r="AD39" s="109"/>
      <c r="AE39" s="109"/>
      <c r="AF39" s="109"/>
    </row>
    <row r="40" spans="1:32" ht="13.5" customHeight="1" x14ac:dyDescent="0.25">
      <c r="A40" s="109"/>
      <c r="B40" s="200" t="s">
        <v>493</v>
      </c>
      <c r="C40" s="200"/>
      <c r="D40" s="200"/>
      <c r="E40" s="109"/>
      <c r="F40" s="200"/>
      <c r="G40" s="200"/>
      <c r="H40" s="200"/>
      <c r="I40" s="200"/>
      <c r="J40" s="200"/>
      <c r="K40" s="200"/>
      <c r="L40" s="200"/>
      <c r="M40" s="200"/>
      <c r="N40" s="200"/>
      <c r="O40" s="200"/>
      <c r="P40" s="200"/>
      <c r="Q40" s="200"/>
      <c r="R40" s="200"/>
      <c r="S40" s="200"/>
      <c r="T40" s="200"/>
      <c r="U40" s="200"/>
      <c r="Y40" s="109"/>
      <c r="Z40" s="109"/>
      <c r="AA40" s="109"/>
      <c r="AB40" s="109"/>
      <c r="AC40" s="109"/>
      <c r="AD40" s="109"/>
      <c r="AE40" s="109"/>
      <c r="AF40" s="109"/>
    </row>
    <row r="41" spans="1:32" ht="27.75" customHeight="1" x14ac:dyDescent="0.25">
      <c r="A41" s="109"/>
      <c r="B41" s="5" t="s">
        <v>494</v>
      </c>
      <c r="C41" s="5"/>
      <c r="D41" s="5"/>
      <c r="E41" s="109"/>
      <c r="F41" s="5"/>
      <c r="G41" s="5"/>
      <c r="H41" s="5"/>
      <c r="I41" s="5"/>
      <c r="J41" s="5"/>
      <c r="K41" s="5"/>
      <c r="L41" s="5"/>
      <c r="M41" s="5"/>
      <c r="N41" s="5"/>
      <c r="O41" s="5"/>
      <c r="P41" s="5"/>
      <c r="Q41" s="5"/>
      <c r="R41" s="5"/>
      <c r="S41" s="5"/>
      <c r="T41" s="5"/>
      <c r="U41" s="5"/>
      <c r="Y41" s="109"/>
      <c r="Z41" s="109"/>
      <c r="AA41" s="109"/>
      <c r="AB41" s="109"/>
      <c r="AC41" s="109"/>
      <c r="AD41" s="109"/>
      <c r="AE41" s="109"/>
      <c r="AF41" s="109"/>
    </row>
    <row r="42" spans="1:32" ht="13.5" customHeight="1" x14ac:dyDescent="0.25">
      <c r="A42" s="109"/>
      <c r="B42" s="110" t="s">
        <v>196</v>
      </c>
      <c r="C42" s="201" t="s">
        <v>495</v>
      </c>
      <c r="D42" s="201" t="s">
        <v>496</v>
      </c>
      <c r="E42" s="201" t="s">
        <v>497</v>
      </c>
      <c r="F42" s="201" t="s">
        <v>399</v>
      </c>
      <c r="G42" s="202" t="s">
        <v>400</v>
      </c>
      <c r="H42" s="202" t="s">
        <v>401</v>
      </c>
      <c r="I42" s="202" t="s">
        <v>402</v>
      </c>
      <c r="J42" s="202" t="s">
        <v>403</v>
      </c>
      <c r="K42" s="202" t="s">
        <v>404</v>
      </c>
      <c r="L42" s="111" t="s">
        <v>405</v>
      </c>
      <c r="M42" s="111" t="s">
        <v>406</v>
      </c>
      <c r="N42" s="111" t="s">
        <v>407</v>
      </c>
      <c r="O42" s="111" t="s">
        <v>408</v>
      </c>
      <c r="P42" s="111" t="s">
        <v>409</v>
      </c>
      <c r="Q42" s="111" t="s">
        <v>410</v>
      </c>
      <c r="R42" s="111" t="s">
        <v>411</v>
      </c>
      <c r="S42" s="111" t="s">
        <v>412</v>
      </c>
      <c r="T42" s="111" t="s">
        <v>413</v>
      </c>
      <c r="U42" s="111" t="s">
        <v>414</v>
      </c>
      <c r="Y42" s="109"/>
      <c r="Z42" s="109"/>
      <c r="AA42" s="109"/>
      <c r="AB42" s="109"/>
      <c r="AC42" s="109"/>
      <c r="AD42" s="109"/>
      <c r="AE42" s="109"/>
      <c r="AF42" s="109"/>
    </row>
    <row r="43" spans="1:32" ht="30" customHeight="1" x14ac:dyDescent="0.25">
      <c r="A43" s="109"/>
      <c r="B43" s="129" t="s">
        <v>498</v>
      </c>
      <c r="C43" s="109"/>
      <c r="D43" s="109"/>
      <c r="E43" s="109"/>
      <c r="F43" s="132">
        <v>0</v>
      </c>
      <c r="G43" s="132">
        <f>'Cash Flow'!C37</f>
        <v>66929838.118000001</v>
      </c>
      <c r="H43" s="132">
        <f>'Cash Flow'!D37</f>
        <v>66929838.118000001</v>
      </c>
      <c r="I43" s="132">
        <f>'Cash Flow'!E37</f>
        <v>66929838.118000001</v>
      </c>
      <c r="J43" s="132">
        <f>'Cash Flow'!F37</f>
        <v>66929838.118000001</v>
      </c>
      <c r="K43" s="132">
        <f>'Cash Flow'!G37</f>
        <v>66929838.118000001</v>
      </c>
      <c r="L43" s="203">
        <f>'Cash Flow'!H37</f>
        <v>66929838.118000001</v>
      </c>
      <c r="M43" s="132">
        <f>'Cash Flow'!I37</f>
        <v>66929838.118000001</v>
      </c>
      <c r="N43" s="132">
        <f>'Cash Flow'!J37</f>
        <v>66929838.118000001</v>
      </c>
      <c r="O43" s="132">
        <f>'Cash Flow'!K37</f>
        <v>66929838.118000001</v>
      </c>
      <c r="P43" s="132">
        <f>'Cash Flow'!L37</f>
        <v>66929838.118000001</v>
      </c>
      <c r="Q43" s="132">
        <f>'Cash Flow'!M37</f>
        <v>66929838.118000001</v>
      </c>
      <c r="R43" s="132">
        <f>'Cash Flow'!N37</f>
        <v>66929838.118000001</v>
      </c>
      <c r="S43" s="132">
        <f>'Cash Flow'!O37</f>
        <v>66929838.118000001</v>
      </c>
      <c r="T43" s="132">
        <f>'Cash Flow'!P37</f>
        <v>66929838.118000001</v>
      </c>
      <c r="U43" s="132">
        <f>'Cash Flow'!Q37</f>
        <v>66929838.118000001</v>
      </c>
      <c r="Y43" s="109"/>
      <c r="Z43" s="109"/>
      <c r="AA43" s="109"/>
      <c r="AB43" s="109"/>
      <c r="AC43" s="109"/>
      <c r="AD43" s="109"/>
      <c r="AE43" s="109"/>
      <c r="AF43" s="109"/>
    </row>
    <row r="44" spans="1:32" ht="30" customHeight="1" x14ac:dyDescent="0.25">
      <c r="A44" s="109"/>
      <c r="B44" s="129" t="s">
        <v>499</v>
      </c>
      <c r="C44" s="109"/>
      <c r="D44" s="109"/>
      <c r="E44" s="109"/>
      <c r="F44" s="132">
        <v>0</v>
      </c>
      <c r="G44" s="132">
        <f>'Cash Flow'!C38</f>
        <v>-84245720.38277334</v>
      </c>
      <c r="H44" s="132">
        <f>'Cash Flow'!D38</f>
        <v>-84245720.38277334</v>
      </c>
      <c r="I44" s="132">
        <f>'Cash Flow'!E38</f>
        <v>-84245720.38277334</v>
      </c>
      <c r="J44" s="132">
        <f>'Cash Flow'!F38</f>
        <v>-84245720.38277334</v>
      </c>
      <c r="K44" s="132">
        <f>'Cash Flow'!G38</f>
        <v>-84245720.38277334</v>
      </c>
      <c r="L44" s="132">
        <f>'Cash Flow'!H38</f>
        <v>-84245720.38277334</v>
      </c>
      <c r="M44" s="132">
        <f>'Cash Flow'!I38</f>
        <v>-84245720.38277334</v>
      </c>
      <c r="N44" s="132">
        <f>'Cash Flow'!J38</f>
        <v>-84245720.38277334</v>
      </c>
      <c r="O44" s="132">
        <f>'Cash Flow'!K38</f>
        <v>-84245720.38277334</v>
      </c>
      <c r="P44" s="132">
        <f>'Cash Flow'!L38</f>
        <v>-84245720.38277334</v>
      </c>
      <c r="Q44" s="132">
        <f>'Cash Flow'!M38</f>
        <v>-84245720.38277334</v>
      </c>
      <c r="R44" s="132">
        <f>'Cash Flow'!N38</f>
        <v>-84245720.38277334</v>
      </c>
      <c r="S44" s="132">
        <f>'Cash Flow'!O38</f>
        <v>-84245720.38277334</v>
      </c>
      <c r="T44" s="132">
        <f>'Cash Flow'!P38</f>
        <v>-84245720.38277334</v>
      </c>
      <c r="U44" s="132">
        <f>'Cash Flow'!Q38</f>
        <v>-158165720.38277334</v>
      </c>
      <c r="Y44" s="109"/>
      <c r="Z44" s="109"/>
      <c r="AA44" s="109"/>
      <c r="AB44" s="109"/>
      <c r="AC44" s="109"/>
      <c r="AD44" s="109"/>
      <c r="AE44" s="109"/>
      <c r="AF44" s="109"/>
    </row>
    <row r="45" spans="1:32" ht="36.75" customHeight="1" x14ac:dyDescent="0.25">
      <c r="A45" s="109"/>
      <c r="B45" s="5" t="s">
        <v>500</v>
      </c>
      <c r="C45" s="5"/>
      <c r="D45" s="5"/>
      <c r="E45" s="109"/>
      <c r="F45" s="5"/>
      <c r="G45" s="5"/>
      <c r="H45" s="5"/>
      <c r="I45" s="5"/>
      <c r="J45" s="5"/>
      <c r="K45" s="5"/>
      <c r="L45" s="5"/>
      <c r="M45" s="5"/>
      <c r="N45" s="5"/>
      <c r="O45" s="5"/>
      <c r="P45" s="5"/>
      <c r="Q45" s="5"/>
      <c r="R45" s="5"/>
      <c r="S45" s="5"/>
      <c r="T45" s="5"/>
      <c r="U45" s="5"/>
      <c r="Y45" s="109"/>
      <c r="Z45" s="109"/>
      <c r="AA45" s="109"/>
      <c r="AB45" s="109"/>
      <c r="AC45" s="109"/>
      <c r="AD45" s="109"/>
      <c r="AE45" s="109"/>
      <c r="AF45" s="109"/>
    </row>
    <row r="46" spans="1:32" ht="27" customHeight="1" x14ac:dyDescent="0.25">
      <c r="A46" s="109"/>
      <c r="B46" s="129" t="str">
        <f>"FCF y VAN — PRECIO DEL COBRE (" &amp; TEXT(G$7,"0%") &amp; ")"</f>
        <v>FCF y VAN — PRECIO DEL COBRE (-20%)</v>
      </c>
      <c r="C46" s="141">
        <f>F46+NPV(WACC,G46:U46)</f>
        <v>312812023.84775066</v>
      </c>
      <c r="D46" s="204">
        <f>IFERROR(IRR(F46:U46),"N/A")</f>
        <v>0.17077965810793394</v>
      </c>
      <c r="E46" s="132">
        <f>Precio_Cobre*(1+G$7)</f>
        <v>3.3600000000000003</v>
      </c>
      <c r="F46" s="136">
        <f>CAPEX_Inicial_Total</f>
        <v>-739200000</v>
      </c>
      <c r="G46" s="132">
        <f t="shared" ref="G46:U46" si="0">G43*$E46+G44</f>
        <v>140638535.69370669</v>
      </c>
      <c r="H46" s="132">
        <f t="shared" si="0"/>
        <v>140638535.69370669</v>
      </c>
      <c r="I46" s="132">
        <f t="shared" si="0"/>
        <v>140638535.69370669</v>
      </c>
      <c r="J46" s="132">
        <f t="shared" si="0"/>
        <v>140638535.69370669</v>
      </c>
      <c r="K46" s="132">
        <f t="shared" si="0"/>
        <v>140638535.69370669</v>
      </c>
      <c r="L46" s="203">
        <f t="shared" si="0"/>
        <v>140638535.69370669</v>
      </c>
      <c r="M46" s="132">
        <f t="shared" si="0"/>
        <v>140638535.69370669</v>
      </c>
      <c r="N46" s="132">
        <f t="shared" si="0"/>
        <v>140638535.69370669</v>
      </c>
      <c r="O46" s="132">
        <f t="shared" si="0"/>
        <v>140638535.69370669</v>
      </c>
      <c r="P46" s="132">
        <f t="shared" si="0"/>
        <v>140638535.69370669</v>
      </c>
      <c r="Q46" s="132">
        <f t="shared" si="0"/>
        <v>140638535.69370669</v>
      </c>
      <c r="R46" s="132">
        <f t="shared" si="0"/>
        <v>140638535.69370669</v>
      </c>
      <c r="S46" s="132">
        <f t="shared" si="0"/>
        <v>140638535.69370669</v>
      </c>
      <c r="T46" s="132">
        <f t="shared" si="0"/>
        <v>140638535.69370669</v>
      </c>
      <c r="U46" s="132">
        <f t="shared" si="0"/>
        <v>66718535.693706691</v>
      </c>
      <c r="Y46" s="109"/>
      <c r="Z46" s="109"/>
      <c r="AA46" s="109"/>
      <c r="AB46" s="109"/>
      <c r="AC46" s="109"/>
      <c r="AD46" s="109"/>
      <c r="AE46" s="109"/>
      <c r="AF46" s="109"/>
    </row>
    <row r="47" spans="1:32" ht="27" customHeight="1" x14ac:dyDescent="0.25">
      <c r="A47" s="109"/>
      <c r="B47" s="129" t="str">
        <f>"FCF y VAN — PRECIO DEL COBRE (" &amp; TEXT(H$7,"0%") &amp; ")"</f>
        <v>FCF y VAN — PRECIO DEL COBRE (-10%)</v>
      </c>
      <c r="C47" s="141">
        <f>F47+NPV(WACC,G47:U47)</f>
        <v>526622965.27708983</v>
      </c>
      <c r="D47" s="204">
        <f>IFERROR(IRR(F47:U47),"N/A")</f>
        <v>0.21479718316307062</v>
      </c>
      <c r="E47" s="132">
        <f>Precio_Cobre*(1+H$7)</f>
        <v>3.7800000000000002</v>
      </c>
      <c r="F47" s="136">
        <f>CAPEX_Inicial_Total</f>
        <v>-739200000</v>
      </c>
      <c r="G47" s="132">
        <f t="shared" ref="G47:U47" si="1">G43*$E47+G44</f>
        <v>168749067.70326668</v>
      </c>
      <c r="H47" s="132">
        <f t="shared" si="1"/>
        <v>168749067.70326668</v>
      </c>
      <c r="I47" s="132">
        <f t="shared" si="1"/>
        <v>168749067.70326668</v>
      </c>
      <c r="J47" s="132">
        <f t="shared" si="1"/>
        <v>168749067.70326668</v>
      </c>
      <c r="K47" s="132">
        <f t="shared" si="1"/>
        <v>168749067.70326668</v>
      </c>
      <c r="L47" s="203">
        <f t="shared" si="1"/>
        <v>168749067.70326668</v>
      </c>
      <c r="M47" s="132">
        <f t="shared" si="1"/>
        <v>168749067.70326668</v>
      </c>
      <c r="N47" s="132">
        <f t="shared" si="1"/>
        <v>168749067.70326668</v>
      </c>
      <c r="O47" s="132">
        <f t="shared" si="1"/>
        <v>168749067.70326668</v>
      </c>
      <c r="P47" s="132">
        <f t="shared" si="1"/>
        <v>168749067.70326668</v>
      </c>
      <c r="Q47" s="132">
        <f t="shared" si="1"/>
        <v>168749067.70326668</v>
      </c>
      <c r="R47" s="132">
        <f t="shared" si="1"/>
        <v>168749067.70326668</v>
      </c>
      <c r="S47" s="132">
        <f t="shared" si="1"/>
        <v>168749067.70326668</v>
      </c>
      <c r="T47" s="132">
        <f t="shared" si="1"/>
        <v>168749067.70326668</v>
      </c>
      <c r="U47" s="132">
        <f t="shared" si="1"/>
        <v>94829067.70326668</v>
      </c>
      <c r="Y47" s="109"/>
      <c r="Z47" s="109"/>
      <c r="AA47" s="109"/>
      <c r="AB47" s="109"/>
      <c r="AC47" s="109"/>
      <c r="AD47" s="109"/>
      <c r="AE47" s="109"/>
      <c r="AF47" s="109"/>
    </row>
    <row r="48" spans="1:32" ht="27" customHeight="1" x14ac:dyDescent="0.25">
      <c r="A48" s="109"/>
      <c r="B48" s="129" t="str">
        <f>"FCF y VAN — PRECIO DEL COBRE (" &amp; TEXT(I$7,"0%") &amp; ")"</f>
        <v>FCF y VAN — PRECIO DEL COBRE (0%)</v>
      </c>
      <c r="C48" s="141">
        <f>F48+NPV(WACC,G48:U48)</f>
        <v>740433906.706429</v>
      </c>
      <c r="D48" s="204">
        <f>IFERROR(IRR(F48:U48),"N/A")</f>
        <v>0.2568490840671922</v>
      </c>
      <c r="E48" s="132">
        <f>Precio_Cobre*(1+I$7)</f>
        <v>4.2</v>
      </c>
      <c r="F48" s="136">
        <f>CAPEX_Inicial_Total</f>
        <v>-739200000</v>
      </c>
      <c r="G48" s="132">
        <f t="shared" ref="G48:U48" si="2">G43*$E48+G44</f>
        <v>196859599.71282667</v>
      </c>
      <c r="H48" s="132">
        <f t="shared" si="2"/>
        <v>196859599.71282667</v>
      </c>
      <c r="I48" s="132">
        <f t="shared" si="2"/>
        <v>196859599.71282667</v>
      </c>
      <c r="J48" s="132">
        <f t="shared" si="2"/>
        <v>196859599.71282667</v>
      </c>
      <c r="K48" s="132">
        <f t="shared" si="2"/>
        <v>196859599.71282667</v>
      </c>
      <c r="L48" s="203">
        <f t="shared" si="2"/>
        <v>196859599.71282667</v>
      </c>
      <c r="M48" s="132">
        <f t="shared" si="2"/>
        <v>196859599.71282667</v>
      </c>
      <c r="N48" s="132">
        <f t="shared" si="2"/>
        <v>196859599.71282667</v>
      </c>
      <c r="O48" s="132">
        <f t="shared" si="2"/>
        <v>196859599.71282667</v>
      </c>
      <c r="P48" s="132">
        <f t="shared" si="2"/>
        <v>196859599.71282667</v>
      </c>
      <c r="Q48" s="132">
        <f t="shared" si="2"/>
        <v>196859599.71282667</v>
      </c>
      <c r="R48" s="132">
        <f t="shared" si="2"/>
        <v>196859599.71282667</v>
      </c>
      <c r="S48" s="132">
        <f t="shared" si="2"/>
        <v>196859599.71282667</v>
      </c>
      <c r="T48" s="132">
        <f t="shared" si="2"/>
        <v>196859599.71282667</v>
      </c>
      <c r="U48" s="132">
        <f t="shared" si="2"/>
        <v>122939599.71282667</v>
      </c>
      <c r="Y48" s="109"/>
      <c r="Z48" s="109"/>
      <c r="AA48" s="109"/>
      <c r="AB48" s="109"/>
      <c r="AC48" s="109"/>
      <c r="AD48" s="109"/>
      <c r="AE48" s="109"/>
      <c r="AF48" s="109"/>
    </row>
    <row r="49" spans="1:32" ht="40.5" customHeight="1" x14ac:dyDescent="0.25">
      <c r="A49" s="109"/>
      <c r="B49" s="129" t="str">
        <f>"FCF y VAN — PRECIO DEL COBRE (" &amp; TEXT(J$7,"0%") &amp; ")"</f>
        <v>FCF y VAN — PRECIO DEL COBRE (10%)</v>
      </c>
      <c r="C49" s="141">
        <f>F49+NPV(WACC,G49:U49)</f>
        <v>954244848.13576913</v>
      </c>
      <c r="D49" s="204">
        <f>IFERROR(IRR(F49:U49),"N/A")</f>
        <v>0.29763463302926185</v>
      </c>
      <c r="E49" s="132">
        <f>Precio_Cobre*(1+J$7)</f>
        <v>4.620000000000001</v>
      </c>
      <c r="F49" s="136">
        <f>CAPEX_Inicial_Total</f>
        <v>-739200000</v>
      </c>
      <c r="G49" s="132">
        <f t="shared" ref="G49:U49" si="3">G43*$E49+G44</f>
        <v>224970131.72238672</v>
      </c>
      <c r="H49" s="132">
        <f t="shared" si="3"/>
        <v>224970131.72238672</v>
      </c>
      <c r="I49" s="132">
        <f t="shared" si="3"/>
        <v>224970131.72238672</v>
      </c>
      <c r="J49" s="132">
        <f t="shared" si="3"/>
        <v>224970131.72238672</v>
      </c>
      <c r="K49" s="132">
        <f t="shared" si="3"/>
        <v>224970131.72238672</v>
      </c>
      <c r="L49" s="203">
        <f t="shared" si="3"/>
        <v>224970131.72238672</v>
      </c>
      <c r="M49" s="132">
        <f t="shared" si="3"/>
        <v>224970131.72238672</v>
      </c>
      <c r="N49" s="132">
        <f t="shared" si="3"/>
        <v>224970131.72238672</v>
      </c>
      <c r="O49" s="132">
        <f t="shared" si="3"/>
        <v>224970131.72238672</v>
      </c>
      <c r="P49" s="132">
        <f t="shared" si="3"/>
        <v>224970131.72238672</v>
      </c>
      <c r="Q49" s="132">
        <f t="shared" si="3"/>
        <v>224970131.72238672</v>
      </c>
      <c r="R49" s="132">
        <f t="shared" si="3"/>
        <v>224970131.72238672</v>
      </c>
      <c r="S49" s="132">
        <f t="shared" si="3"/>
        <v>224970131.72238672</v>
      </c>
      <c r="T49" s="132">
        <f t="shared" si="3"/>
        <v>224970131.72238672</v>
      </c>
      <c r="U49" s="132">
        <f t="shared" si="3"/>
        <v>151050131.72238672</v>
      </c>
      <c r="Y49" s="109"/>
      <c r="Z49" s="109"/>
      <c r="AA49" s="109"/>
      <c r="AB49" s="109"/>
      <c r="AC49" s="109"/>
      <c r="AD49" s="109"/>
      <c r="AE49" s="109"/>
      <c r="AF49" s="109"/>
    </row>
    <row r="50" spans="1:32" ht="40.5" customHeight="1" x14ac:dyDescent="0.25">
      <c r="A50" s="109"/>
      <c r="B50" s="129" t="str">
        <f>"FCF y VAN — PRECIO DEL COBRE (" &amp; TEXT(K$7,"0%") &amp; ")"</f>
        <v>FCF y VAN — PRECIO DEL COBRE (20%)</v>
      </c>
      <c r="C50" s="141">
        <f>F50+NPV(WACC,G50:U50)</f>
        <v>1168055789.5651081</v>
      </c>
      <c r="D50" s="204">
        <f>IFERROR(IRR(F50:U50),"N/A")</f>
        <v>0.33757869974165944</v>
      </c>
      <c r="E50" s="132">
        <f>Precio_Cobre*(1+K$7)</f>
        <v>5.04</v>
      </c>
      <c r="F50" s="136">
        <f>CAPEX_Inicial_Total</f>
        <v>-739200000</v>
      </c>
      <c r="G50" s="205">
        <f t="shared" ref="G50:U50" si="4">G43*$E50+G44</f>
        <v>253080663.73194665</v>
      </c>
      <c r="H50" s="205">
        <f t="shared" si="4"/>
        <v>253080663.73194665</v>
      </c>
      <c r="I50" s="205">
        <f t="shared" si="4"/>
        <v>253080663.73194665</v>
      </c>
      <c r="J50" s="205">
        <f t="shared" si="4"/>
        <v>253080663.73194665</v>
      </c>
      <c r="K50" s="205">
        <f t="shared" si="4"/>
        <v>253080663.73194665</v>
      </c>
      <c r="L50" s="203">
        <f t="shared" si="4"/>
        <v>253080663.73194665</v>
      </c>
      <c r="M50" s="132">
        <f t="shared" si="4"/>
        <v>253080663.73194665</v>
      </c>
      <c r="N50" s="132">
        <f t="shared" si="4"/>
        <v>253080663.73194665</v>
      </c>
      <c r="O50" s="132">
        <f t="shared" si="4"/>
        <v>253080663.73194665</v>
      </c>
      <c r="P50" s="132">
        <f t="shared" si="4"/>
        <v>253080663.73194665</v>
      </c>
      <c r="Q50" s="132">
        <f t="shared" si="4"/>
        <v>253080663.73194665</v>
      </c>
      <c r="R50" s="132">
        <f t="shared" si="4"/>
        <v>253080663.73194665</v>
      </c>
      <c r="S50" s="132">
        <f t="shared" si="4"/>
        <v>253080663.73194665</v>
      </c>
      <c r="T50" s="132">
        <f t="shared" si="4"/>
        <v>253080663.73194665</v>
      </c>
      <c r="U50" s="132">
        <f t="shared" si="4"/>
        <v>179160663.73194665</v>
      </c>
      <c r="Y50" s="109"/>
      <c r="Z50" s="109"/>
      <c r="AA50" s="109"/>
      <c r="AB50" s="109"/>
      <c r="AC50" s="109"/>
      <c r="AD50" s="109"/>
      <c r="AE50" s="109"/>
      <c r="AF50" s="109"/>
    </row>
    <row r="51" spans="1:32" ht="40.5" customHeight="1" x14ac:dyDescent="0.25">
      <c r="A51" s="109"/>
      <c r="B51" s="108"/>
      <c r="C51" s="109"/>
      <c r="D51" s="109"/>
      <c r="E51" s="109"/>
      <c r="F51" s="109"/>
      <c r="G51" s="206"/>
      <c r="H51" s="206"/>
      <c r="I51" s="206"/>
      <c r="J51" s="206"/>
      <c r="K51" s="206"/>
      <c r="L51" s="207"/>
      <c r="M51" s="208"/>
      <c r="N51" s="109"/>
      <c r="O51" s="109"/>
      <c r="P51" s="109"/>
      <c r="Q51" s="109"/>
      <c r="R51" s="109"/>
      <c r="S51" s="109"/>
      <c r="T51" s="109"/>
      <c r="U51" s="109"/>
      <c r="Y51" s="109"/>
      <c r="Z51" s="109"/>
      <c r="AA51" s="109"/>
      <c r="AB51" s="109"/>
      <c r="AC51" s="109"/>
      <c r="AD51" s="109"/>
      <c r="AE51" s="109"/>
      <c r="AF51" s="109"/>
    </row>
    <row r="52" spans="1:32" ht="23.25" customHeight="1" x14ac:dyDescent="0.25">
      <c r="A52" s="109"/>
      <c r="B52" s="200" t="s">
        <v>501</v>
      </c>
      <c r="C52" s="200"/>
      <c r="D52" s="200"/>
      <c r="E52" s="109"/>
      <c r="F52" s="200"/>
      <c r="G52" s="200"/>
      <c r="H52" s="200"/>
      <c r="I52" s="200"/>
      <c r="J52" s="200"/>
      <c r="K52" s="200"/>
      <c r="L52" s="200"/>
      <c r="M52" s="200"/>
      <c r="N52" s="200"/>
      <c r="O52" s="200"/>
      <c r="P52" s="200"/>
      <c r="Q52" s="200"/>
      <c r="R52" s="200"/>
      <c r="S52" s="200"/>
      <c r="T52" s="200"/>
      <c r="U52" s="200"/>
      <c r="Y52" s="109"/>
      <c r="Z52" s="109"/>
      <c r="AA52" s="109"/>
      <c r="AB52" s="109"/>
      <c r="AC52" s="109"/>
      <c r="AD52" s="109"/>
      <c r="AE52" s="109"/>
      <c r="AF52" s="109"/>
    </row>
    <row r="53" spans="1:32" ht="27.75" customHeight="1" x14ac:dyDescent="0.25">
      <c r="A53" s="109"/>
      <c r="B53" s="5" t="s">
        <v>502</v>
      </c>
      <c r="C53" s="5"/>
      <c r="D53" s="5"/>
      <c r="E53" s="109"/>
      <c r="F53" s="5"/>
      <c r="G53" s="5"/>
      <c r="H53" s="5"/>
      <c r="I53" s="5"/>
      <c r="J53" s="5"/>
      <c r="K53" s="5"/>
      <c r="L53" s="5"/>
      <c r="M53" s="5"/>
      <c r="N53" s="5"/>
      <c r="O53" s="5"/>
      <c r="P53" s="5"/>
      <c r="Q53" s="5"/>
      <c r="R53" s="5"/>
      <c r="S53" s="5"/>
      <c r="T53" s="5"/>
      <c r="U53" s="5"/>
      <c r="Y53" s="109"/>
      <c r="Z53" s="109"/>
      <c r="AA53" s="109"/>
      <c r="AB53" s="109"/>
      <c r="AC53" s="109"/>
      <c r="AD53" s="109"/>
      <c r="AE53" s="109"/>
      <c r="AF53" s="109"/>
    </row>
    <row r="54" spans="1:32" ht="13.5" customHeight="1" x14ac:dyDescent="0.25">
      <c r="A54" s="109"/>
      <c r="B54" s="110" t="s">
        <v>196</v>
      </c>
      <c r="C54" s="201" t="s">
        <v>495</v>
      </c>
      <c r="D54" s="201" t="s">
        <v>496</v>
      </c>
      <c r="E54" s="201" t="s">
        <v>497</v>
      </c>
      <c r="F54" s="201" t="s">
        <v>399</v>
      </c>
      <c r="G54" s="209" t="s">
        <v>400</v>
      </c>
      <c r="H54" s="209" t="s">
        <v>401</v>
      </c>
      <c r="I54" s="209" t="s">
        <v>402</v>
      </c>
      <c r="J54" s="209" t="s">
        <v>403</v>
      </c>
      <c r="K54" s="209" t="s">
        <v>404</v>
      </c>
      <c r="L54" s="209" t="s">
        <v>405</v>
      </c>
      <c r="M54" s="209" t="s">
        <v>406</v>
      </c>
      <c r="N54" s="111" t="s">
        <v>407</v>
      </c>
      <c r="O54" s="111" t="s">
        <v>408</v>
      </c>
      <c r="P54" s="111" t="s">
        <v>409</v>
      </c>
      <c r="Q54" s="111" t="s">
        <v>410</v>
      </c>
      <c r="R54" s="111" t="s">
        <v>411</v>
      </c>
      <c r="S54" s="111" t="s">
        <v>412</v>
      </c>
      <c r="T54" s="111" t="s">
        <v>413</v>
      </c>
      <c r="U54" s="111" t="s">
        <v>414</v>
      </c>
      <c r="Y54" s="109"/>
      <c r="Z54" s="109"/>
      <c r="AA54" s="109"/>
      <c r="AB54" s="109"/>
      <c r="AC54" s="109"/>
      <c r="AD54" s="109"/>
      <c r="AE54" s="109"/>
      <c r="AF54" s="109"/>
    </row>
    <row r="55" spans="1:32" ht="40.5" customHeight="1" x14ac:dyDescent="0.25">
      <c r="A55" s="109"/>
      <c r="B55" s="129" t="s">
        <v>498</v>
      </c>
      <c r="C55" s="109"/>
      <c r="D55" s="109"/>
      <c r="E55" s="109"/>
      <c r="F55" s="132">
        <v>0</v>
      </c>
      <c r="G55" s="205">
        <f>(1-Tasa_Impuesto)*'Cash Flow'!C20/Ley_Cobre</f>
        <v>48611199947.786674</v>
      </c>
      <c r="H55" s="205">
        <f>(1-Tasa_Impuesto)*'Cash Flow'!D20/Ley_Cobre</f>
        <v>48611199947.786674</v>
      </c>
      <c r="I55" s="205">
        <f>(1-Tasa_Impuesto)*'Cash Flow'!E20/Ley_Cobre</f>
        <v>48611199947.786674</v>
      </c>
      <c r="J55" s="205">
        <f>(1-Tasa_Impuesto)*'Cash Flow'!F20/Ley_Cobre</f>
        <v>48611199947.786674</v>
      </c>
      <c r="K55" s="205">
        <f>(1-Tasa_Impuesto)*'Cash Flow'!G20/Ley_Cobre</f>
        <v>48611199947.786674</v>
      </c>
      <c r="L55" s="203">
        <f>(1-Tasa_Impuesto)*'Cash Flow'!H20/Ley_Cobre</f>
        <v>48611199947.786674</v>
      </c>
      <c r="M55" s="132">
        <f>(1-Tasa_Impuesto)*'Cash Flow'!I20/Ley_Cobre</f>
        <v>48611199947.786674</v>
      </c>
      <c r="N55" s="132">
        <f>(1-Tasa_Impuesto)*'Cash Flow'!J20/Ley_Cobre</f>
        <v>48611199947.786674</v>
      </c>
      <c r="O55" s="132">
        <f>(1-Tasa_Impuesto)*'Cash Flow'!K20/Ley_Cobre</f>
        <v>48611199947.786674</v>
      </c>
      <c r="P55" s="132">
        <f>(1-Tasa_Impuesto)*'Cash Flow'!L20/Ley_Cobre</f>
        <v>48611199947.786674</v>
      </c>
      <c r="Q55" s="132">
        <f>(1-Tasa_Impuesto)*'Cash Flow'!M20/Ley_Cobre</f>
        <v>48611199947.786674</v>
      </c>
      <c r="R55" s="132">
        <f>(1-Tasa_Impuesto)*'Cash Flow'!N20/Ley_Cobre</f>
        <v>48611199947.786674</v>
      </c>
      <c r="S55" s="132">
        <f>(1-Tasa_Impuesto)*'Cash Flow'!O20/Ley_Cobre</f>
        <v>48611199947.786674</v>
      </c>
      <c r="T55" s="132">
        <f>(1-Tasa_Impuesto)*'Cash Flow'!P20/Ley_Cobre</f>
        <v>48611199947.786674</v>
      </c>
      <c r="U55" s="132">
        <f>(1-Tasa_Impuesto)*'Cash Flow'!Q20/Ley_Cobre</f>
        <v>48611199947.786674</v>
      </c>
      <c r="Y55" s="109"/>
      <c r="Z55" s="109"/>
      <c r="AA55" s="109"/>
      <c r="AB55" s="109"/>
      <c r="AC55" s="109"/>
      <c r="AD55" s="109"/>
      <c r="AE55" s="109"/>
      <c r="AF55" s="109"/>
    </row>
    <row r="56" spans="1:32" ht="27" customHeight="1" x14ac:dyDescent="0.25">
      <c r="A56" s="109"/>
      <c r="B56" s="129" t="s">
        <v>499</v>
      </c>
      <c r="C56" s="109"/>
      <c r="D56" s="109"/>
      <c r="E56" s="109"/>
      <c r="F56" s="132">
        <v>0</v>
      </c>
      <c r="G56" s="205">
        <f>(1-Tasa_Impuesto)*'Cash Flow'!C25-Tasa_Impuesto*'Cash Flow'!C28</f>
        <v>-70502000</v>
      </c>
      <c r="H56" s="205">
        <f>(1-Tasa_Impuesto)*'Cash Flow'!D25-Tasa_Impuesto*'Cash Flow'!D28</f>
        <v>-70502000</v>
      </c>
      <c r="I56" s="205">
        <f>(1-Tasa_Impuesto)*'Cash Flow'!E25-Tasa_Impuesto*'Cash Flow'!E28</f>
        <v>-70502000</v>
      </c>
      <c r="J56" s="205">
        <f>(1-Tasa_Impuesto)*'Cash Flow'!F25-Tasa_Impuesto*'Cash Flow'!F28</f>
        <v>-70502000</v>
      </c>
      <c r="K56" s="205">
        <f>(1-Tasa_Impuesto)*'Cash Flow'!G25-Tasa_Impuesto*'Cash Flow'!G28</f>
        <v>-70502000</v>
      </c>
      <c r="L56" s="203">
        <f>(1-Tasa_Impuesto)*'Cash Flow'!H25-Tasa_Impuesto*'Cash Flow'!H28</f>
        <v>-70502000</v>
      </c>
      <c r="M56" s="132">
        <f>(1-Tasa_Impuesto)*'Cash Flow'!I25-Tasa_Impuesto*'Cash Flow'!I28</f>
        <v>-70502000</v>
      </c>
      <c r="N56" s="132">
        <f>(1-Tasa_Impuesto)*'Cash Flow'!J25-Tasa_Impuesto*'Cash Flow'!J28</f>
        <v>-70502000</v>
      </c>
      <c r="O56" s="132">
        <f>(1-Tasa_Impuesto)*'Cash Flow'!K25-Tasa_Impuesto*'Cash Flow'!K28</f>
        <v>-70502000</v>
      </c>
      <c r="P56" s="132">
        <f>(1-Tasa_Impuesto)*'Cash Flow'!L25-Tasa_Impuesto*'Cash Flow'!L28</f>
        <v>-70502000</v>
      </c>
      <c r="Q56" s="132">
        <f>(1-Tasa_Impuesto)*'Cash Flow'!M25-Tasa_Impuesto*'Cash Flow'!M28</f>
        <v>-70502000</v>
      </c>
      <c r="R56" s="132">
        <f>(1-Tasa_Impuesto)*'Cash Flow'!N25-Tasa_Impuesto*'Cash Flow'!N28</f>
        <v>-70502000</v>
      </c>
      <c r="S56" s="132">
        <f>(1-Tasa_Impuesto)*'Cash Flow'!O25-Tasa_Impuesto*'Cash Flow'!O28</f>
        <v>-70502000</v>
      </c>
      <c r="T56" s="132">
        <f>(1-Tasa_Impuesto)*'Cash Flow'!P25-Tasa_Impuesto*'Cash Flow'!P28</f>
        <v>-70502000</v>
      </c>
      <c r="U56" s="132">
        <f>(1-Tasa_Impuesto)*'Cash Flow'!Q25-Tasa_Impuesto*'Cash Flow'!Q28</f>
        <v>-70502000</v>
      </c>
      <c r="Y56" s="109"/>
      <c r="Z56" s="109"/>
      <c r="AA56" s="109"/>
      <c r="AB56" s="109"/>
      <c r="AC56" s="109"/>
      <c r="AD56" s="109"/>
      <c r="AE56" s="109"/>
      <c r="AF56" s="109"/>
    </row>
    <row r="57" spans="1:32" ht="27" customHeight="1" x14ac:dyDescent="0.25">
      <c r="A57" s="109"/>
      <c r="B57" s="5" t="s">
        <v>500</v>
      </c>
      <c r="C57" s="5"/>
      <c r="D57" s="5"/>
      <c r="E57" s="109"/>
      <c r="F57" s="5"/>
      <c r="G57" s="5"/>
      <c r="H57" s="5"/>
      <c r="I57" s="5"/>
      <c r="J57" s="5"/>
      <c r="K57" s="5"/>
      <c r="L57" s="5"/>
      <c r="M57" s="5"/>
      <c r="N57" s="5"/>
      <c r="O57" s="5"/>
      <c r="P57" s="5"/>
      <c r="Q57" s="5"/>
      <c r="R57" s="5"/>
      <c r="S57" s="5"/>
      <c r="T57" s="5"/>
      <c r="U57" s="5"/>
      <c r="Y57" s="109"/>
      <c r="Z57" s="109"/>
      <c r="AA57" s="109"/>
      <c r="AB57" s="109"/>
      <c r="AC57" s="109"/>
      <c r="AD57" s="109"/>
      <c r="AE57" s="109"/>
      <c r="AF57" s="109"/>
    </row>
    <row r="58" spans="1:32" ht="13.5" customHeight="1" x14ac:dyDescent="0.25">
      <c r="A58" s="109"/>
      <c r="B58" s="129" t="str">
        <f>"FCF y VAN — LEY DE COBRE (HEAD GRADE) (" &amp; TEXT(G$7,"0%") &amp; ")"</f>
        <v>FCF y VAN — LEY DE COBRE (HEAD GRADE) (-20%)</v>
      </c>
      <c r="C58" s="141">
        <f>F58+NPV(WACC,G58:U58)</f>
        <v>351415050.12588811</v>
      </c>
      <c r="D58" s="204">
        <f>IFERROR(IRR(F58:U58),"N/A")</f>
        <v>0.17718531505949886</v>
      </c>
      <c r="E58" s="132">
        <f>Ley_Cobre*(1+G$7)</f>
        <v>4.4000000000000003E-3</v>
      </c>
      <c r="F58" s="136">
        <f>CAPEX_Inicial_Total</f>
        <v>-739200000</v>
      </c>
      <c r="G58" s="205">
        <f t="shared" ref="G58:U58" si="5">G55*$E58+G56</f>
        <v>143387279.77026138</v>
      </c>
      <c r="H58" s="205">
        <f t="shared" si="5"/>
        <v>143387279.77026138</v>
      </c>
      <c r="I58" s="205">
        <f t="shared" si="5"/>
        <v>143387279.77026138</v>
      </c>
      <c r="J58" s="205">
        <f t="shared" si="5"/>
        <v>143387279.77026138</v>
      </c>
      <c r="K58" s="205">
        <f t="shared" si="5"/>
        <v>143387279.77026138</v>
      </c>
      <c r="L58" s="203">
        <f t="shared" si="5"/>
        <v>143387279.77026138</v>
      </c>
      <c r="M58" s="132">
        <f t="shared" si="5"/>
        <v>143387279.77026138</v>
      </c>
      <c r="N58" s="132">
        <f t="shared" si="5"/>
        <v>143387279.77026138</v>
      </c>
      <c r="O58" s="132">
        <f t="shared" si="5"/>
        <v>143387279.77026138</v>
      </c>
      <c r="P58" s="132">
        <f t="shared" si="5"/>
        <v>143387279.77026138</v>
      </c>
      <c r="Q58" s="132">
        <f t="shared" si="5"/>
        <v>143387279.77026138</v>
      </c>
      <c r="R58" s="132">
        <f t="shared" si="5"/>
        <v>143387279.77026138</v>
      </c>
      <c r="S58" s="132">
        <f t="shared" si="5"/>
        <v>143387279.77026138</v>
      </c>
      <c r="T58" s="132">
        <f t="shared" si="5"/>
        <v>143387279.77026138</v>
      </c>
      <c r="U58" s="132">
        <f t="shared" si="5"/>
        <v>143387279.77026138</v>
      </c>
      <c r="Y58" s="109"/>
      <c r="Z58" s="109"/>
      <c r="AA58" s="109"/>
      <c r="AB58" s="109"/>
      <c r="AC58" s="109"/>
      <c r="AD58" s="109"/>
      <c r="AE58" s="109"/>
      <c r="AF58" s="109"/>
    </row>
    <row r="59" spans="1:32" ht="40.5" customHeight="1" x14ac:dyDescent="0.25">
      <c r="A59" s="109"/>
      <c r="B59" s="129" t="str">
        <f>"FCF y VAN — LEY DE COBRE (HEAD GRADE) (" &amp; TEXT(H$7,"0%") &amp; ")"</f>
        <v>FCF y VAN — LEY DE COBRE (HEAD GRADE) (-10%)</v>
      </c>
      <c r="C59" s="141">
        <f>F59+NPV(WACC,G59:U59)</f>
        <v>554772408.56084323</v>
      </c>
      <c r="D59" s="204">
        <f>IFERROR(IRR(F59:U59),"N/A")</f>
        <v>0.21823140863220503</v>
      </c>
      <c r="E59" s="132">
        <f>Ley_Cobre*(1+H$7)</f>
        <v>4.9499999999999995E-3</v>
      </c>
      <c r="F59" s="136">
        <f>CAPEX_Inicial_Total</f>
        <v>-739200000</v>
      </c>
      <c r="G59" s="205">
        <f t="shared" ref="G59:U59" si="6">G55*$E59+G56</f>
        <v>170123439.74154401</v>
      </c>
      <c r="H59" s="205">
        <f t="shared" si="6"/>
        <v>170123439.74154401</v>
      </c>
      <c r="I59" s="205">
        <f t="shared" si="6"/>
        <v>170123439.74154401</v>
      </c>
      <c r="J59" s="205">
        <f t="shared" si="6"/>
        <v>170123439.74154401</v>
      </c>
      <c r="K59" s="205">
        <f t="shared" si="6"/>
        <v>170123439.74154401</v>
      </c>
      <c r="L59" s="203">
        <f t="shared" si="6"/>
        <v>170123439.74154401</v>
      </c>
      <c r="M59" s="132">
        <f t="shared" si="6"/>
        <v>170123439.74154401</v>
      </c>
      <c r="N59" s="132">
        <f t="shared" si="6"/>
        <v>170123439.74154401</v>
      </c>
      <c r="O59" s="132">
        <f t="shared" si="6"/>
        <v>170123439.74154401</v>
      </c>
      <c r="P59" s="132">
        <f t="shared" si="6"/>
        <v>170123439.74154401</v>
      </c>
      <c r="Q59" s="132">
        <f t="shared" si="6"/>
        <v>170123439.74154401</v>
      </c>
      <c r="R59" s="132">
        <f t="shared" si="6"/>
        <v>170123439.74154401</v>
      </c>
      <c r="S59" s="132">
        <f t="shared" si="6"/>
        <v>170123439.74154401</v>
      </c>
      <c r="T59" s="132">
        <f t="shared" si="6"/>
        <v>170123439.74154401</v>
      </c>
      <c r="U59" s="132">
        <f t="shared" si="6"/>
        <v>170123439.74154401</v>
      </c>
      <c r="Y59" s="109"/>
      <c r="Z59" s="109"/>
      <c r="AA59" s="109"/>
      <c r="AB59" s="109"/>
      <c r="AC59" s="109"/>
      <c r="AD59" s="109"/>
      <c r="AE59" s="109"/>
      <c r="AF59" s="109"/>
    </row>
    <row r="60" spans="1:32" s="88" customFormat="1" ht="40.5" customHeight="1" x14ac:dyDescent="0.25">
      <c r="A60" s="109"/>
      <c r="B60" s="123" t="str">
        <f>"FCF y VAN — LEY DE COBRE (HEAD GRADE) (" &amp; TEXT(I$7,"0%") &amp; ")"</f>
        <v>FCF y VAN — LEY DE COBRE (HEAD GRADE) (0%)</v>
      </c>
      <c r="C60" s="141">
        <f>F60+NPV(WACC,G60:U60)</f>
        <v>758129766.99579787</v>
      </c>
      <c r="D60" s="204">
        <f>IFERROR(IRR(F60:U60),"N/A")</f>
        <v>0.25777668034292822</v>
      </c>
      <c r="E60" s="132">
        <f>Ley_Cobre*(1+I$7)</f>
        <v>5.4999999999999997E-3</v>
      </c>
      <c r="F60" s="210">
        <f>CAPEX_Inicial_Total</f>
        <v>-739200000</v>
      </c>
      <c r="G60" s="211">
        <f t="shared" ref="G60:U60" si="7">G55*$E60+G56</f>
        <v>196859599.7128267</v>
      </c>
      <c r="H60" s="211">
        <f t="shared" si="7"/>
        <v>196859599.7128267</v>
      </c>
      <c r="I60" s="211">
        <f t="shared" si="7"/>
        <v>196859599.7128267</v>
      </c>
      <c r="J60" s="211">
        <f t="shared" si="7"/>
        <v>196859599.7128267</v>
      </c>
      <c r="K60" s="211">
        <f t="shared" si="7"/>
        <v>196859599.7128267</v>
      </c>
      <c r="L60" s="203">
        <f t="shared" si="7"/>
        <v>196859599.7128267</v>
      </c>
      <c r="M60" s="132">
        <f t="shared" si="7"/>
        <v>196859599.7128267</v>
      </c>
      <c r="N60" s="132">
        <f t="shared" si="7"/>
        <v>196859599.7128267</v>
      </c>
      <c r="O60" s="132">
        <f t="shared" si="7"/>
        <v>196859599.7128267</v>
      </c>
      <c r="P60" s="132">
        <f t="shared" si="7"/>
        <v>196859599.7128267</v>
      </c>
      <c r="Q60" s="132">
        <f t="shared" si="7"/>
        <v>196859599.7128267</v>
      </c>
      <c r="R60" s="132">
        <f t="shared" si="7"/>
        <v>196859599.7128267</v>
      </c>
      <c r="S60" s="132">
        <f t="shared" si="7"/>
        <v>196859599.7128267</v>
      </c>
      <c r="T60" s="132">
        <f t="shared" si="7"/>
        <v>196859599.7128267</v>
      </c>
      <c r="U60" s="132">
        <f t="shared" si="7"/>
        <v>196859599.7128267</v>
      </c>
      <c r="Y60" s="109"/>
      <c r="Z60" s="109"/>
      <c r="AA60" s="109"/>
      <c r="AB60" s="109"/>
      <c r="AC60" s="109"/>
      <c r="AD60" s="109"/>
      <c r="AE60" s="109"/>
      <c r="AF60" s="109"/>
    </row>
    <row r="61" spans="1:32" ht="40.5" customHeight="1" x14ac:dyDescent="0.25">
      <c r="A61" s="109"/>
      <c r="B61" s="129" t="str">
        <f>"FCF y VAN — LEY DE COBRE (HEAD GRADE) (" &amp; TEXT(J$7,"0%") &amp; ")"</f>
        <v>FCF y VAN — LEY DE COBRE (HEAD GRADE) (10%)</v>
      </c>
      <c r="C61" s="141">
        <f>F61+NPV(WACC,G61:U61)</f>
        <v>961487125.43075347</v>
      </c>
      <c r="D61" s="204">
        <f>IFERROR(IRR(F61:U61),"N/A")</f>
        <v>0.29631701882701522</v>
      </c>
      <c r="E61" s="132">
        <f>Ley_Cobre*(1+J$7)</f>
        <v>6.0499999999999998E-3</v>
      </c>
      <c r="F61" s="136">
        <f>CAPEX_Inicial_Total</f>
        <v>-739200000</v>
      </c>
      <c r="G61" s="132">
        <f t="shared" ref="G61:U61" si="8">G55*$E61+G56</f>
        <v>223595759.68410939</v>
      </c>
      <c r="H61" s="132">
        <f t="shared" si="8"/>
        <v>223595759.68410939</v>
      </c>
      <c r="I61" s="132">
        <f t="shared" si="8"/>
        <v>223595759.68410939</v>
      </c>
      <c r="J61" s="132">
        <f t="shared" si="8"/>
        <v>223595759.68410939</v>
      </c>
      <c r="K61" s="132">
        <f t="shared" si="8"/>
        <v>223595759.68410939</v>
      </c>
      <c r="L61" s="203">
        <f t="shared" si="8"/>
        <v>223595759.68410939</v>
      </c>
      <c r="M61" s="132">
        <f t="shared" si="8"/>
        <v>223595759.68410939</v>
      </c>
      <c r="N61" s="132">
        <f t="shared" si="8"/>
        <v>223595759.68410939</v>
      </c>
      <c r="O61" s="132">
        <f t="shared" si="8"/>
        <v>223595759.68410939</v>
      </c>
      <c r="P61" s="132">
        <f t="shared" si="8"/>
        <v>223595759.68410939</v>
      </c>
      <c r="Q61" s="132">
        <f t="shared" si="8"/>
        <v>223595759.68410939</v>
      </c>
      <c r="R61" s="132">
        <f t="shared" si="8"/>
        <v>223595759.68410939</v>
      </c>
      <c r="S61" s="132">
        <f t="shared" si="8"/>
        <v>223595759.68410939</v>
      </c>
      <c r="T61" s="132">
        <f t="shared" si="8"/>
        <v>223595759.68410939</v>
      </c>
      <c r="U61" s="132">
        <f t="shared" si="8"/>
        <v>223595759.68410939</v>
      </c>
      <c r="Y61" s="109"/>
      <c r="Z61" s="109"/>
      <c r="AA61" s="109"/>
      <c r="AB61" s="109"/>
      <c r="AC61" s="109"/>
      <c r="AD61" s="109"/>
      <c r="AE61" s="109"/>
      <c r="AF61" s="109"/>
    </row>
    <row r="62" spans="1:32" ht="13.5" customHeight="1" x14ac:dyDescent="0.25">
      <c r="A62" s="109"/>
      <c r="B62" s="129" t="str">
        <f>"FCF y VAN — LEY DE COBRE (HEAD GRADE) (" &amp; TEXT(K$7,"0%") &amp; ")"</f>
        <v>FCF y VAN — LEY DE COBRE (HEAD GRADE) (20%)</v>
      </c>
      <c r="C62" s="141">
        <f>F62+NPV(WACC,G62:U62)</f>
        <v>1164844483.8657076</v>
      </c>
      <c r="D62" s="204">
        <f>IFERROR(IRR(F62:U62),"N/A")</f>
        <v>0.33416926624068033</v>
      </c>
      <c r="E62" s="132">
        <f>Ley_Cobre*(1+K$7)</f>
        <v>6.5999999999999991E-3</v>
      </c>
      <c r="F62" s="136">
        <f>CAPEX_Inicial_Total</f>
        <v>-739200000</v>
      </c>
      <c r="G62" s="132">
        <f t="shared" ref="G62:U62" si="9">G55*$E62+G56</f>
        <v>250331919.65539199</v>
      </c>
      <c r="H62" s="132">
        <f t="shared" si="9"/>
        <v>250331919.65539199</v>
      </c>
      <c r="I62" s="132">
        <f t="shared" si="9"/>
        <v>250331919.65539199</v>
      </c>
      <c r="J62" s="132">
        <f t="shared" si="9"/>
        <v>250331919.65539199</v>
      </c>
      <c r="K62" s="132">
        <f t="shared" si="9"/>
        <v>250331919.65539199</v>
      </c>
      <c r="L62" s="203">
        <f t="shared" si="9"/>
        <v>250331919.65539199</v>
      </c>
      <c r="M62" s="132">
        <f t="shared" si="9"/>
        <v>250331919.65539199</v>
      </c>
      <c r="N62" s="132">
        <f t="shared" si="9"/>
        <v>250331919.65539199</v>
      </c>
      <c r="O62" s="132">
        <f t="shared" si="9"/>
        <v>250331919.65539199</v>
      </c>
      <c r="P62" s="132">
        <f t="shared" si="9"/>
        <v>250331919.65539199</v>
      </c>
      <c r="Q62" s="132">
        <f t="shared" si="9"/>
        <v>250331919.65539199</v>
      </c>
      <c r="R62" s="132">
        <f t="shared" si="9"/>
        <v>250331919.65539199</v>
      </c>
      <c r="S62" s="132">
        <f t="shared" si="9"/>
        <v>250331919.65539199</v>
      </c>
      <c r="T62" s="132">
        <f t="shared" si="9"/>
        <v>250331919.65539199</v>
      </c>
      <c r="U62" s="132">
        <f t="shared" si="9"/>
        <v>250331919.65539199</v>
      </c>
      <c r="Y62" s="109"/>
      <c r="Z62" s="109"/>
      <c r="AA62" s="109"/>
      <c r="AB62" s="109"/>
      <c r="AC62" s="109"/>
      <c r="AD62" s="109"/>
      <c r="AE62" s="109"/>
      <c r="AF62" s="109"/>
    </row>
    <row r="63" spans="1:32" ht="13.5" customHeight="1" x14ac:dyDescent="0.25">
      <c r="A63" s="109"/>
      <c r="B63" s="109"/>
      <c r="C63" s="109"/>
      <c r="D63" s="109"/>
      <c r="E63" s="109"/>
      <c r="F63" s="109"/>
      <c r="G63" s="212"/>
      <c r="H63" s="212"/>
      <c r="I63" s="212"/>
      <c r="J63" s="212"/>
      <c r="K63" s="212"/>
      <c r="L63" s="109"/>
      <c r="M63" s="109"/>
      <c r="N63" s="109"/>
      <c r="O63" s="109"/>
      <c r="P63" s="109"/>
      <c r="Q63" s="109"/>
      <c r="R63" s="109"/>
      <c r="S63" s="109"/>
      <c r="T63" s="109"/>
      <c r="U63" s="109"/>
      <c r="Y63" s="109"/>
      <c r="Z63" s="109"/>
      <c r="AA63" s="109"/>
      <c r="AB63" s="109"/>
      <c r="AC63" s="109"/>
      <c r="AD63" s="109"/>
      <c r="AE63" s="109"/>
      <c r="AF63" s="109"/>
    </row>
    <row r="64" spans="1:32" ht="23.25" customHeight="1" x14ac:dyDescent="0.25">
      <c r="A64" s="109"/>
      <c r="B64" s="200" t="s">
        <v>503</v>
      </c>
      <c r="C64" s="200"/>
      <c r="D64" s="200"/>
      <c r="E64" s="109"/>
      <c r="F64" s="200"/>
      <c r="G64" s="200"/>
      <c r="H64" s="200"/>
      <c r="I64" s="200"/>
      <c r="J64" s="200"/>
      <c r="K64" s="200"/>
      <c r="L64" s="200"/>
      <c r="M64" s="200"/>
      <c r="N64" s="200"/>
      <c r="O64" s="200"/>
      <c r="P64" s="200"/>
      <c r="Q64" s="200"/>
      <c r="R64" s="200"/>
      <c r="S64" s="200"/>
      <c r="T64" s="200"/>
      <c r="U64" s="200"/>
      <c r="Y64" s="109"/>
      <c r="Z64" s="109"/>
      <c r="AA64" s="109"/>
      <c r="AB64" s="109"/>
      <c r="AC64" s="109"/>
      <c r="AD64" s="109"/>
      <c r="AE64" s="109"/>
      <c r="AF64" s="109"/>
    </row>
    <row r="65" spans="1:32" ht="27.75" customHeight="1" x14ac:dyDescent="0.25">
      <c r="A65" s="109"/>
      <c r="B65" s="5" t="s">
        <v>504</v>
      </c>
      <c r="C65" s="5"/>
      <c r="D65" s="5"/>
      <c r="E65" s="109"/>
      <c r="F65" s="5"/>
      <c r="G65" s="5"/>
      <c r="H65" s="5"/>
      <c r="I65" s="5"/>
      <c r="J65" s="5"/>
      <c r="K65" s="5"/>
      <c r="L65" s="5"/>
      <c r="M65" s="5"/>
      <c r="N65" s="5"/>
      <c r="O65" s="5"/>
      <c r="P65" s="5"/>
      <c r="Q65" s="5"/>
      <c r="R65" s="5"/>
      <c r="S65" s="5"/>
      <c r="T65" s="5"/>
      <c r="U65" s="5"/>
      <c r="Y65" s="109"/>
      <c r="Z65" s="109"/>
      <c r="AA65" s="109"/>
      <c r="AB65" s="109"/>
      <c r="AC65" s="109"/>
      <c r="AD65" s="109"/>
      <c r="AE65" s="109"/>
      <c r="AF65" s="109"/>
    </row>
    <row r="66" spans="1:32" ht="27.75" customHeight="1" x14ac:dyDescent="0.25">
      <c r="A66" s="109"/>
      <c r="B66" s="110" t="s">
        <v>196</v>
      </c>
      <c r="C66" s="201" t="s">
        <v>495</v>
      </c>
      <c r="D66" s="201" t="s">
        <v>496</v>
      </c>
      <c r="E66" s="201" t="s">
        <v>497</v>
      </c>
      <c r="F66" s="201" t="s">
        <v>399</v>
      </c>
      <c r="G66" s="111" t="s">
        <v>400</v>
      </c>
      <c r="H66" s="111" t="s">
        <v>401</v>
      </c>
      <c r="I66" s="111" t="s">
        <v>402</v>
      </c>
      <c r="J66" s="111" t="s">
        <v>403</v>
      </c>
      <c r="K66" s="111" t="s">
        <v>404</v>
      </c>
      <c r="L66" s="111" t="s">
        <v>405</v>
      </c>
      <c r="M66" s="111" t="s">
        <v>406</v>
      </c>
      <c r="N66" s="111" t="s">
        <v>407</v>
      </c>
      <c r="O66" s="111" t="s">
        <v>408</v>
      </c>
      <c r="P66" s="111" t="s">
        <v>409</v>
      </c>
      <c r="Q66" s="111" t="s">
        <v>410</v>
      </c>
      <c r="R66" s="111" t="s">
        <v>411</v>
      </c>
      <c r="S66" s="111" t="s">
        <v>412</v>
      </c>
      <c r="T66" s="111" t="s">
        <v>413</v>
      </c>
      <c r="U66" s="111" t="s">
        <v>414</v>
      </c>
      <c r="Y66" s="109"/>
      <c r="Z66" s="109"/>
      <c r="AA66" s="109"/>
      <c r="AB66" s="109"/>
      <c r="AC66" s="109"/>
      <c r="AD66" s="109"/>
      <c r="AE66" s="109"/>
      <c r="AF66" s="109"/>
    </row>
    <row r="67" spans="1:32" ht="27" customHeight="1" x14ac:dyDescent="0.25">
      <c r="A67" s="109"/>
      <c r="B67" s="129" t="s">
        <v>498</v>
      </c>
      <c r="C67" s="109"/>
      <c r="D67" s="109"/>
      <c r="E67" s="109"/>
      <c r="F67" s="132">
        <v>0</v>
      </c>
      <c r="G67" s="213">
        <f>(1-Tasa_Impuesto)*'Cash Flow'!C20/Recuperacion_Metalurgica</f>
        <v>303819999.67366672</v>
      </c>
      <c r="H67" s="213">
        <f>(1-Tasa_Impuesto)*'Cash Flow'!D20/Recuperacion_Metalurgica</f>
        <v>303819999.67366672</v>
      </c>
      <c r="I67" s="213">
        <f>(1-Tasa_Impuesto)*'Cash Flow'!E20/Recuperacion_Metalurgica</f>
        <v>303819999.67366672</v>
      </c>
      <c r="J67" s="213">
        <f>(1-Tasa_Impuesto)*'Cash Flow'!F20/Recuperacion_Metalurgica</f>
        <v>303819999.67366672</v>
      </c>
      <c r="K67" s="213">
        <f>(1-Tasa_Impuesto)*'Cash Flow'!G20/Recuperacion_Metalurgica</f>
        <v>303819999.67366672</v>
      </c>
      <c r="L67" s="203">
        <f>(1-Tasa_Impuesto)*'Cash Flow'!H20/Recuperacion_Metalurgica</f>
        <v>303819999.67366672</v>
      </c>
      <c r="M67" s="132">
        <f>(1-Tasa_Impuesto)*'Cash Flow'!I20/Recuperacion_Metalurgica</f>
        <v>303819999.67366672</v>
      </c>
      <c r="N67" s="132">
        <f>(1-Tasa_Impuesto)*'Cash Flow'!J20/Recuperacion_Metalurgica</f>
        <v>303819999.67366672</v>
      </c>
      <c r="O67" s="132">
        <f>(1-Tasa_Impuesto)*'Cash Flow'!K20/Recuperacion_Metalurgica</f>
        <v>303819999.67366672</v>
      </c>
      <c r="P67" s="132">
        <f>(1-Tasa_Impuesto)*'Cash Flow'!L20/Recuperacion_Metalurgica</f>
        <v>303819999.67366672</v>
      </c>
      <c r="Q67" s="132">
        <f>(1-Tasa_Impuesto)*'Cash Flow'!M20/Recuperacion_Metalurgica</f>
        <v>303819999.67366672</v>
      </c>
      <c r="R67" s="132">
        <f>(1-Tasa_Impuesto)*'Cash Flow'!N20/Recuperacion_Metalurgica</f>
        <v>303819999.67366672</v>
      </c>
      <c r="S67" s="132">
        <f>(1-Tasa_Impuesto)*'Cash Flow'!O20/Recuperacion_Metalurgica</f>
        <v>303819999.67366672</v>
      </c>
      <c r="T67" s="132">
        <f>(1-Tasa_Impuesto)*'Cash Flow'!P20/Recuperacion_Metalurgica</f>
        <v>303819999.67366672</v>
      </c>
      <c r="U67" s="132">
        <f>(1-Tasa_Impuesto)*'Cash Flow'!Q20/Recuperacion_Metalurgica</f>
        <v>303819999.67366672</v>
      </c>
      <c r="Y67" s="109"/>
      <c r="Z67" s="109"/>
      <c r="AA67" s="109"/>
      <c r="AB67" s="109"/>
      <c r="AC67" s="109"/>
      <c r="AD67" s="109"/>
      <c r="AE67" s="109"/>
      <c r="AF67" s="109"/>
    </row>
    <row r="68" spans="1:32" ht="27" customHeight="1" x14ac:dyDescent="0.25">
      <c r="A68" s="109"/>
      <c r="B68" s="129" t="s">
        <v>499</v>
      </c>
      <c r="C68" s="109"/>
      <c r="D68" s="109"/>
      <c r="E68" s="109"/>
      <c r="F68" s="132">
        <v>0</v>
      </c>
      <c r="G68" s="132">
        <f>(1-Tasa_Impuesto)*'Cash Flow'!C25-Tasa_Impuesto*'Cash Flow'!C28</f>
        <v>-70502000</v>
      </c>
      <c r="H68" s="132">
        <f>(1-Tasa_Impuesto)*'Cash Flow'!D25-Tasa_Impuesto*'Cash Flow'!D28</f>
        <v>-70502000</v>
      </c>
      <c r="I68" s="132">
        <f>(1-Tasa_Impuesto)*'Cash Flow'!E25-Tasa_Impuesto*'Cash Flow'!E28</f>
        <v>-70502000</v>
      </c>
      <c r="J68" s="132">
        <f>(1-Tasa_Impuesto)*'Cash Flow'!F25-Tasa_Impuesto*'Cash Flow'!F28</f>
        <v>-70502000</v>
      </c>
      <c r="K68" s="132">
        <f>(1-Tasa_Impuesto)*'Cash Flow'!G25-Tasa_Impuesto*'Cash Flow'!G28</f>
        <v>-70502000</v>
      </c>
      <c r="L68" s="203">
        <f>(1-Tasa_Impuesto)*'Cash Flow'!H25-Tasa_Impuesto*'Cash Flow'!H28</f>
        <v>-70502000</v>
      </c>
      <c r="M68" s="132">
        <f>(1-Tasa_Impuesto)*'Cash Flow'!I25-Tasa_Impuesto*'Cash Flow'!I28</f>
        <v>-70502000</v>
      </c>
      <c r="N68" s="132">
        <f>(1-Tasa_Impuesto)*'Cash Flow'!J25-Tasa_Impuesto*'Cash Flow'!J28</f>
        <v>-70502000</v>
      </c>
      <c r="O68" s="132">
        <f>(1-Tasa_Impuesto)*'Cash Flow'!K25-Tasa_Impuesto*'Cash Flow'!K28</f>
        <v>-70502000</v>
      </c>
      <c r="P68" s="132">
        <f>(1-Tasa_Impuesto)*'Cash Flow'!L25-Tasa_Impuesto*'Cash Flow'!L28</f>
        <v>-70502000</v>
      </c>
      <c r="Q68" s="132">
        <f>(1-Tasa_Impuesto)*'Cash Flow'!M25-Tasa_Impuesto*'Cash Flow'!M28</f>
        <v>-70502000</v>
      </c>
      <c r="R68" s="132">
        <f>(1-Tasa_Impuesto)*'Cash Flow'!N25-Tasa_Impuesto*'Cash Flow'!N28</f>
        <v>-70502000</v>
      </c>
      <c r="S68" s="132">
        <f>(1-Tasa_Impuesto)*'Cash Flow'!O25-Tasa_Impuesto*'Cash Flow'!O28</f>
        <v>-70502000</v>
      </c>
      <c r="T68" s="132">
        <f>(1-Tasa_Impuesto)*'Cash Flow'!P25-Tasa_Impuesto*'Cash Flow'!P28</f>
        <v>-70502000</v>
      </c>
      <c r="U68" s="132">
        <f>(1-Tasa_Impuesto)*'Cash Flow'!Q25-Tasa_Impuesto*'Cash Flow'!Q28</f>
        <v>-70502000</v>
      </c>
      <c r="Y68" s="109"/>
      <c r="Z68" s="109"/>
      <c r="AA68" s="109"/>
      <c r="AB68" s="109"/>
      <c r="AC68" s="109"/>
      <c r="AD68" s="109"/>
      <c r="AE68" s="109"/>
      <c r="AF68" s="109"/>
    </row>
    <row r="69" spans="1:32" ht="27" customHeight="1" x14ac:dyDescent="0.25">
      <c r="A69" s="109"/>
      <c r="B69" s="5" t="s">
        <v>500</v>
      </c>
      <c r="C69" s="5"/>
      <c r="D69" s="5"/>
      <c r="E69" s="109"/>
      <c r="F69" s="5"/>
      <c r="G69" s="5"/>
      <c r="H69" s="5"/>
      <c r="I69" s="5"/>
      <c r="J69" s="5"/>
      <c r="K69" s="5"/>
      <c r="L69" s="5"/>
      <c r="M69" s="5"/>
      <c r="N69" s="5"/>
      <c r="O69" s="5"/>
      <c r="P69" s="5"/>
      <c r="Q69" s="5"/>
      <c r="R69" s="5"/>
      <c r="S69" s="5"/>
      <c r="T69" s="5"/>
      <c r="U69" s="5"/>
      <c r="Y69" s="109"/>
      <c r="Z69" s="109"/>
      <c r="AA69" s="109"/>
      <c r="AB69" s="109"/>
      <c r="AC69" s="109"/>
      <c r="AD69" s="109"/>
      <c r="AE69" s="109"/>
      <c r="AF69" s="109"/>
    </row>
    <row r="70" spans="1:32" ht="27" customHeight="1" x14ac:dyDescent="0.25">
      <c r="A70" s="109"/>
      <c r="B70" s="129" t="str">
        <f>"FCF y VAN — RECUPERACIÓN METALÚRGICA (" &amp; TEXT(G$7,"0%") &amp; ")"</f>
        <v>FCF y VAN — RECUPERACIÓN METALÚRGICA (-20%)</v>
      </c>
      <c r="C70" s="141">
        <f>F70+NPV(WACC,G70:U70)</f>
        <v>351415050.12588811</v>
      </c>
      <c r="D70" s="204">
        <f>IFERROR(IRR(F70:U70),"N/A")</f>
        <v>0.17718531505949886</v>
      </c>
      <c r="E70" s="132">
        <f>Recuperacion_Metalurgica*(1+G$7)</f>
        <v>0.70400000000000007</v>
      </c>
      <c r="F70" s="136">
        <f>CAPEX_Inicial_Total</f>
        <v>-739200000</v>
      </c>
      <c r="G70" s="213">
        <f t="shared" ref="G70:U70" si="10">G67*$E70+G68</f>
        <v>143387279.77026138</v>
      </c>
      <c r="H70" s="213">
        <f t="shared" si="10"/>
        <v>143387279.77026138</v>
      </c>
      <c r="I70" s="213">
        <f t="shared" si="10"/>
        <v>143387279.77026138</v>
      </c>
      <c r="J70" s="213">
        <f t="shared" si="10"/>
        <v>143387279.77026138</v>
      </c>
      <c r="K70" s="213">
        <f t="shared" si="10"/>
        <v>143387279.77026138</v>
      </c>
      <c r="L70" s="203">
        <f t="shared" si="10"/>
        <v>143387279.77026138</v>
      </c>
      <c r="M70" s="132">
        <f t="shared" si="10"/>
        <v>143387279.77026138</v>
      </c>
      <c r="N70" s="132">
        <f t="shared" si="10"/>
        <v>143387279.77026138</v>
      </c>
      <c r="O70" s="132">
        <f t="shared" si="10"/>
        <v>143387279.77026138</v>
      </c>
      <c r="P70" s="132">
        <f t="shared" si="10"/>
        <v>143387279.77026138</v>
      </c>
      <c r="Q70" s="132">
        <f t="shared" si="10"/>
        <v>143387279.77026138</v>
      </c>
      <c r="R70" s="132">
        <f t="shared" si="10"/>
        <v>143387279.77026138</v>
      </c>
      <c r="S70" s="132">
        <f t="shared" si="10"/>
        <v>143387279.77026138</v>
      </c>
      <c r="T70" s="132">
        <f t="shared" si="10"/>
        <v>143387279.77026138</v>
      </c>
      <c r="U70" s="132">
        <f t="shared" si="10"/>
        <v>143387279.77026138</v>
      </c>
      <c r="Y70" s="109"/>
      <c r="Z70" s="109"/>
      <c r="AA70" s="109"/>
      <c r="AB70" s="109"/>
      <c r="AC70" s="109"/>
      <c r="AD70" s="109"/>
      <c r="AE70" s="109"/>
      <c r="AF70" s="109"/>
    </row>
    <row r="71" spans="1:32" ht="27" customHeight="1" x14ac:dyDescent="0.25">
      <c r="A71" s="109"/>
      <c r="B71" s="129" t="str">
        <f>"FCF y VAN — RECUPERACIÓN METALÚRGICA (" &amp; TEXT(H$7,"0%") &amp; ")"</f>
        <v>FCF y VAN — RECUPERACIÓN METALÚRGICA (-10%)</v>
      </c>
      <c r="C71" s="141">
        <f>F71+NPV(WACC,G71:U71)</f>
        <v>554772408.56084347</v>
      </c>
      <c r="D71" s="204">
        <f>IFERROR(IRR(F71:U71),"N/A")</f>
        <v>0.21823140863220503</v>
      </c>
      <c r="E71" s="132">
        <f>Recuperacion_Metalurgica*(1+H$7)</f>
        <v>0.79200000000000004</v>
      </c>
      <c r="F71" s="136">
        <f>CAPEX_Inicial_Total</f>
        <v>-739200000</v>
      </c>
      <c r="G71" s="132">
        <f t="shared" ref="G71:U71" si="11">G67*$E71+G68</f>
        <v>170123439.74154404</v>
      </c>
      <c r="H71" s="132">
        <f t="shared" si="11"/>
        <v>170123439.74154404</v>
      </c>
      <c r="I71" s="132">
        <f t="shared" si="11"/>
        <v>170123439.74154404</v>
      </c>
      <c r="J71" s="132">
        <f t="shared" si="11"/>
        <v>170123439.74154404</v>
      </c>
      <c r="K71" s="132">
        <f t="shared" si="11"/>
        <v>170123439.74154404</v>
      </c>
      <c r="L71" s="203">
        <f t="shared" si="11"/>
        <v>170123439.74154404</v>
      </c>
      <c r="M71" s="132">
        <f t="shared" si="11"/>
        <v>170123439.74154404</v>
      </c>
      <c r="N71" s="132">
        <f t="shared" si="11"/>
        <v>170123439.74154404</v>
      </c>
      <c r="O71" s="132">
        <f t="shared" si="11"/>
        <v>170123439.74154404</v>
      </c>
      <c r="P71" s="132">
        <f t="shared" si="11"/>
        <v>170123439.74154404</v>
      </c>
      <c r="Q71" s="132">
        <f t="shared" si="11"/>
        <v>170123439.74154404</v>
      </c>
      <c r="R71" s="132">
        <f t="shared" si="11"/>
        <v>170123439.74154404</v>
      </c>
      <c r="S71" s="132">
        <f t="shared" si="11"/>
        <v>170123439.74154404</v>
      </c>
      <c r="T71" s="132">
        <f t="shared" si="11"/>
        <v>170123439.74154404</v>
      </c>
      <c r="U71" s="132">
        <f t="shared" si="11"/>
        <v>170123439.74154404</v>
      </c>
      <c r="Y71" s="109"/>
      <c r="Z71" s="109"/>
      <c r="AA71" s="109"/>
      <c r="AB71" s="109"/>
      <c r="AC71" s="109"/>
      <c r="AD71" s="109"/>
      <c r="AE71" s="109"/>
      <c r="AF71" s="109"/>
    </row>
    <row r="72" spans="1:32" ht="27" customHeight="1" x14ac:dyDescent="0.25">
      <c r="A72" s="109"/>
      <c r="B72" s="129" t="str">
        <f>"FCF y VAN — RECUPERACIÓN METALÚRGICA (" &amp; TEXT(I$7,"0%") &amp; ")"</f>
        <v>FCF y VAN — RECUPERACIÓN METALÚRGICA (0%)</v>
      </c>
      <c r="C72" s="141">
        <f>F72+NPV(WACC,G72:U72)</f>
        <v>758129766.99579787</v>
      </c>
      <c r="D72" s="204">
        <f>IFERROR(IRR(F72:U72),"N/A")</f>
        <v>0.25777668034292822</v>
      </c>
      <c r="E72" s="132">
        <f>Recuperacion_Metalurgica*(1+I$7)</f>
        <v>0.88</v>
      </c>
      <c r="F72" s="136">
        <f>CAPEX_Inicial_Total</f>
        <v>-739200000</v>
      </c>
      <c r="G72" s="132">
        <f t="shared" ref="G72:U72" si="12">G67*$E72+G68</f>
        <v>196859599.7128267</v>
      </c>
      <c r="H72" s="132">
        <f t="shared" si="12"/>
        <v>196859599.7128267</v>
      </c>
      <c r="I72" s="132">
        <f t="shared" si="12"/>
        <v>196859599.7128267</v>
      </c>
      <c r="J72" s="132">
        <f t="shared" si="12"/>
        <v>196859599.7128267</v>
      </c>
      <c r="K72" s="132">
        <f t="shared" si="12"/>
        <v>196859599.7128267</v>
      </c>
      <c r="L72" s="203">
        <f t="shared" si="12"/>
        <v>196859599.7128267</v>
      </c>
      <c r="M72" s="132">
        <f t="shared" si="12"/>
        <v>196859599.7128267</v>
      </c>
      <c r="N72" s="132">
        <f t="shared" si="12"/>
        <v>196859599.7128267</v>
      </c>
      <c r="O72" s="132">
        <f t="shared" si="12"/>
        <v>196859599.7128267</v>
      </c>
      <c r="P72" s="132">
        <f t="shared" si="12"/>
        <v>196859599.7128267</v>
      </c>
      <c r="Q72" s="132">
        <f t="shared" si="12"/>
        <v>196859599.7128267</v>
      </c>
      <c r="R72" s="132">
        <f t="shared" si="12"/>
        <v>196859599.7128267</v>
      </c>
      <c r="S72" s="132">
        <f t="shared" si="12"/>
        <v>196859599.7128267</v>
      </c>
      <c r="T72" s="132">
        <f t="shared" si="12"/>
        <v>196859599.7128267</v>
      </c>
      <c r="U72" s="132">
        <f t="shared" si="12"/>
        <v>196859599.7128267</v>
      </c>
      <c r="Y72" s="109"/>
      <c r="Z72" s="109"/>
      <c r="AA72" s="109"/>
      <c r="AB72" s="109"/>
      <c r="AC72" s="109"/>
      <c r="AD72" s="109"/>
      <c r="AE72" s="109"/>
      <c r="AF72" s="109"/>
    </row>
    <row r="73" spans="1:32" ht="27" customHeight="1" x14ac:dyDescent="0.25">
      <c r="A73" s="109"/>
      <c r="B73" s="129" t="str">
        <f>"FCF y VAN — RECUPERACIÓN METALÚRGICA (" &amp; TEXT(J$7,"0%") &amp; ")"</f>
        <v>FCF y VAN — RECUPERACIÓN METALÚRGICA (10%)</v>
      </c>
      <c r="C73" s="141">
        <f>F73+NPV(WACC,G73:U73)</f>
        <v>961487125.43075347</v>
      </c>
      <c r="D73" s="204">
        <f>IFERROR(IRR(F73:U73),"N/A")</f>
        <v>0.29631701882701522</v>
      </c>
      <c r="E73" s="132">
        <f>Recuperacion_Metalurgica*(1+J$7)</f>
        <v>0.96800000000000008</v>
      </c>
      <c r="F73" s="136">
        <f>CAPEX_Inicial_Total</f>
        <v>-739200000</v>
      </c>
      <c r="G73" s="205">
        <f t="shared" ref="G73:U73" si="13">G67*$E73+G68</f>
        <v>223595759.68410939</v>
      </c>
      <c r="H73" s="205">
        <f t="shared" si="13"/>
        <v>223595759.68410939</v>
      </c>
      <c r="I73" s="205">
        <f t="shared" si="13"/>
        <v>223595759.68410939</v>
      </c>
      <c r="J73" s="205">
        <f t="shared" si="13"/>
        <v>223595759.68410939</v>
      </c>
      <c r="K73" s="205">
        <f t="shared" si="13"/>
        <v>223595759.68410939</v>
      </c>
      <c r="L73" s="203">
        <f t="shared" si="13"/>
        <v>223595759.68410939</v>
      </c>
      <c r="M73" s="132">
        <f t="shared" si="13"/>
        <v>223595759.68410939</v>
      </c>
      <c r="N73" s="132">
        <f t="shared" si="13"/>
        <v>223595759.68410939</v>
      </c>
      <c r="O73" s="132">
        <f t="shared" si="13"/>
        <v>223595759.68410939</v>
      </c>
      <c r="P73" s="132">
        <f t="shared" si="13"/>
        <v>223595759.68410939</v>
      </c>
      <c r="Q73" s="132">
        <f t="shared" si="13"/>
        <v>223595759.68410939</v>
      </c>
      <c r="R73" s="132">
        <f t="shared" si="13"/>
        <v>223595759.68410939</v>
      </c>
      <c r="S73" s="132">
        <f t="shared" si="13"/>
        <v>223595759.68410939</v>
      </c>
      <c r="T73" s="132">
        <f t="shared" si="13"/>
        <v>223595759.68410939</v>
      </c>
      <c r="U73" s="132">
        <f t="shared" si="13"/>
        <v>223595759.68410939</v>
      </c>
      <c r="Y73" s="109"/>
      <c r="Z73" s="109"/>
      <c r="AA73" s="109"/>
      <c r="AB73" s="109"/>
      <c r="AC73" s="109"/>
      <c r="AD73" s="109"/>
      <c r="AE73" s="109"/>
      <c r="AF73" s="109"/>
    </row>
    <row r="74" spans="1:32" ht="27" customHeight="1" x14ac:dyDescent="0.25">
      <c r="A74" s="109"/>
      <c r="B74" s="129" t="str">
        <f>"FCF y VAN — RECUPERACIÓN METALÚRGICA (" &amp; TEXT(K$7,"0%") &amp; ")"</f>
        <v>FCF y VAN — RECUPERACIÓN METALÚRGICA (20%)</v>
      </c>
      <c r="C74" s="141">
        <f>F74+NPV(WACC,G74:U74)</f>
        <v>1164844483.8657079</v>
      </c>
      <c r="D74" s="204">
        <f>IFERROR(IRR(F74:U74),"N/A")</f>
        <v>0.33416926624068055</v>
      </c>
      <c r="E74" s="132">
        <f>Recuperacion_Metalurgica*(1+K$7)</f>
        <v>1.056</v>
      </c>
      <c r="F74" s="136">
        <f>CAPEX_Inicial_Total</f>
        <v>-739200000</v>
      </c>
      <c r="G74" s="205">
        <f t="shared" ref="G74:U74" si="14">G67*$E74+G68</f>
        <v>250331919.65539205</v>
      </c>
      <c r="H74" s="205">
        <f t="shared" si="14"/>
        <v>250331919.65539205</v>
      </c>
      <c r="I74" s="205">
        <f t="shared" si="14"/>
        <v>250331919.65539205</v>
      </c>
      <c r="J74" s="205">
        <f t="shared" si="14"/>
        <v>250331919.65539205</v>
      </c>
      <c r="K74" s="205">
        <f t="shared" si="14"/>
        <v>250331919.65539205</v>
      </c>
      <c r="L74" s="203">
        <f t="shared" si="14"/>
        <v>250331919.65539205</v>
      </c>
      <c r="M74" s="132">
        <f t="shared" si="14"/>
        <v>250331919.65539205</v>
      </c>
      <c r="N74" s="132">
        <f t="shared" si="14"/>
        <v>250331919.65539205</v>
      </c>
      <c r="O74" s="132">
        <f t="shared" si="14"/>
        <v>250331919.65539205</v>
      </c>
      <c r="P74" s="132">
        <f t="shared" si="14"/>
        <v>250331919.65539205</v>
      </c>
      <c r="Q74" s="132">
        <f t="shared" si="14"/>
        <v>250331919.65539205</v>
      </c>
      <c r="R74" s="132">
        <f t="shared" si="14"/>
        <v>250331919.65539205</v>
      </c>
      <c r="S74" s="132">
        <f t="shared" si="14"/>
        <v>250331919.65539205</v>
      </c>
      <c r="T74" s="132">
        <f t="shared" si="14"/>
        <v>250331919.65539205</v>
      </c>
      <c r="U74" s="132">
        <f t="shared" si="14"/>
        <v>250331919.65539205</v>
      </c>
      <c r="Y74" s="109"/>
      <c r="Z74" s="109"/>
      <c r="AA74" s="109"/>
      <c r="AB74" s="109"/>
      <c r="AC74" s="109"/>
      <c r="AD74" s="109"/>
      <c r="AE74" s="109"/>
      <c r="AF74" s="109"/>
    </row>
    <row r="75" spans="1:32" ht="23.25" customHeight="1" x14ac:dyDescent="0.25">
      <c r="A75" s="109"/>
      <c r="B75" s="108"/>
      <c r="C75" s="109"/>
      <c r="D75" s="109"/>
      <c r="E75" s="109"/>
      <c r="F75" s="109"/>
      <c r="G75" s="206"/>
      <c r="H75" s="206"/>
      <c r="I75" s="206"/>
      <c r="J75" s="206"/>
      <c r="K75" s="206"/>
      <c r="L75" s="207"/>
      <c r="M75" s="208"/>
      <c r="N75" s="109"/>
      <c r="O75" s="109"/>
      <c r="P75" s="109"/>
      <c r="Q75" s="109"/>
      <c r="R75" s="109"/>
      <c r="S75" s="109"/>
      <c r="T75" s="109"/>
      <c r="U75" s="109"/>
      <c r="Y75" s="109"/>
      <c r="Z75" s="109"/>
      <c r="AA75" s="109"/>
      <c r="AB75" s="109"/>
      <c r="AC75" s="109"/>
      <c r="AD75" s="109"/>
      <c r="AE75" s="109"/>
      <c r="AF75" s="109"/>
    </row>
    <row r="76" spans="1:32" ht="27" customHeight="1" x14ac:dyDescent="0.25">
      <c r="A76" s="109"/>
      <c r="B76" s="200" t="s">
        <v>505</v>
      </c>
      <c r="C76" s="200"/>
      <c r="D76" s="200"/>
      <c r="E76" s="109"/>
      <c r="F76" s="200"/>
      <c r="G76" s="200"/>
      <c r="H76" s="200"/>
      <c r="I76" s="200"/>
      <c r="J76" s="200"/>
      <c r="K76" s="200"/>
      <c r="L76" s="200"/>
      <c r="M76" s="200"/>
      <c r="N76" s="200"/>
      <c r="O76" s="200"/>
      <c r="P76" s="200"/>
      <c r="Q76" s="200"/>
      <c r="R76" s="200"/>
      <c r="S76" s="200"/>
      <c r="T76" s="200"/>
      <c r="U76" s="200"/>
      <c r="Y76" s="109"/>
      <c r="Z76" s="109"/>
      <c r="AA76" s="109"/>
      <c r="AB76" s="109"/>
      <c r="AC76" s="109"/>
      <c r="AD76" s="109"/>
      <c r="AE76" s="109"/>
      <c r="AF76" s="109"/>
    </row>
    <row r="77" spans="1:32" ht="27.75" customHeight="1" x14ac:dyDescent="0.25">
      <c r="A77" s="109"/>
      <c r="B77" s="5" t="s">
        <v>506</v>
      </c>
      <c r="C77" s="5"/>
      <c r="D77" s="5"/>
      <c r="E77" s="109"/>
      <c r="F77" s="5"/>
      <c r="G77" s="5"/>
      <c r="H77" s="5"/>
      <c r="I77" s="5"/>
      <c r="J77" s="5"/>
      <c r="K77" s="5"/>
      <c r="L77" s="5"/>
      <c r="M77" s="5"/>
      <c r="N77" s="5"/>
      <c r="O77" s="5"/>
      <c r="P77" s="5"/>
      <c r="Q77" s="5"/>
      <c r="R77" s="5"/>
      <c r="S77" s="5"/>
      <c r="T77" s="5"/>
      <c r="U77" s="5"/>
      <c r="Y77" s="109"/>
      <c r="Z77" s="109"/>
      <c r="AA77" s="109"/>
      <c r="AB77" s="109"/>
      <c r="AC77" s="109"/>
      <c r="AD77" s="109"/>
      <c r="AE77" s="109"/>
      <c r="AF77" s="109"/>
    </row>
    <row r="78" spans="1:32" ht="27" customHeight="1" x14ac:dyDescent="0.25">
      <c r="A78" s="109"/>
      <c r="B78" s="110" t="s">
        <v>196</v>
      </c>
      <c r="C78" s="201" t="s">
        <v>495</v>
      </c>
      <c r="D78" s="201" t="s">
        <v>496</v>
      </c>
      <c r="E78" s="201" t="s">
        <v>497</v>
      </c>
      <c r="F78" s="201" t="s">
        <v>399</v>
      </c>
      <c r="G78" s="209" t="s">
        <v>400</v>
      </c>
      <c r="H78" s="209" t="s">
        <v>401</v>
      </c>
      <c r="I78" s="209" t="s">
        <v>402</v>
      </c>
      <c r="J78" s="209" t="s">
        <v>403</v>
      </c>
      <c r="K78" s="209" t="s">
        <v>404</v>
      </c>
      <c r="L78" s="209" t="s">
        <v>405</v>
      </c>
      <c r="M78" s="209" t="s">
        <v>406</v>
      </c>
      <c r="N78" s="111" t="s">
        <v>407</v>
      </c>
      <c r="O78" s="111" t="s">
        <v>408</v>
      </c>
      <c r="P78" s="111" t="s">
        <v>409</v>
      </c>
      <c r="Q78" s="111" t="s">
        <v>410</v>
      </c>
      <c r="R78" s="111" t="s">
        <v>411</v>
      </c>
      <c r="S78" s="111" t="s">
        <v>412</v>
      </c>
      <c r="T78" s="111" t="s">
        <v>413</v>
      </c>
      <c r="U78" s="111" t="s">
        <v>414</v>
      </c>
      <c r="Y78" s="109"/>
      <c r="Z78" s="109"/>
      <c r="AA78" s="109"/>
      <c r="AB78" s="109"/>
      <c r="AC78" s="109"/>
      <c r="AD78" s="109"/>
      <c r="AE78" s="109"/>
      <c r="AF78" s="109"/>
    </row>
    <row r="79" spans="1:32" ht="27" customHeight="1" x14ac:dyDescent="0.25">
      <c r="A79" s="109"/>
      <c r="B79" s="129" t="s">
        <v>498</v>
      </c>
      <c r="C79" s="109"/>
      <c r="D79" s="109"/>
      <c r="E79" s="109"/>
      <c r="F79" s="132">
        <v>0</v>
      </c>
      <c r="G79" s="205">
        <f>-Tasa_Impuesto*('Cash Flow'!C7/Reservas_Totales)</f>
        <v>-2.3333333333333331E-2</v>
      </c>
      <c r="H79" s="205">
        <f>-Tasa_Impuesto*('Cash Flow'!D7/Reservas_Totales)</f>
        <v>-2.3333333333333331E-2</v>
      </c>
      <c r="I79" s="205">
        <f>-Tasa_Impuesto*('Cash Flow'!E7/Reservas_Totales)</f>
        <v>-2.3333333333333331E-2</v>
      </c>
      <c r="J79" s="205">
        <f>-Tasa_Impuesto*('Cash Flow'!F7/Reservas_Totales)</f>
        <v>-2.3333333333333331E-2</v>
      </c>
      <c r="K79" s="205">
        <f>-Tasa_Impuesto*('Cash Flow'!G7/Reservas_Totales)</f>
        <v>-2.3333333333333331E-2</v>
      </c>
      <c r="L79" s="203">
        <f>-Tasa_Impuesto*('Cash Flow'!H7/Reservas_Totales)</f>
        <v>-2.3333333333333331E-2</v>
      </c>
      <c r="M79" s="132">
        <f>-Tasa_Impuesto*('Cash Flow'!I7/Reservas_Totales)</f>
        <v>-2.3333333333333331E-2</v>
      </c>
      <c r="N79" s="132">
        <f>-Tasa_Impuesto*('Cash Flow'!J7/Reservas_Totales)</f>
        <v>-2.3333333333333331E-2</v>
      </c>
      <c r="O79" s="132">
        <f>-Tasa_Impuesto*('Cash Flow'!K7/Reservas_Totales)</f>
        <v>-2.3333333333333331E-2</v>
      </c>
      <c r="P79" s="132">
        <f>-Tasa_Impuesto*('Cash Flow'!L7/Reservas_Totales)</f>
        <v>-2.3333333333333331E-2</v>
      </c>
      <c r="Q79" s="132">
        <f>-Tasa_Impuesto*('Cash Flow'!M7/Reservas_Totales)</f>
        <v>-2.3333333333333331E-2</v>
      </c>
      <c r="R79" s="132">
        <f>-Tasa_Impuesto*('Cash Flow'!N7/Reservas_Totales)</f>
        <v>-2.3333333333333331E-2</v>
      </c>
      <c r="S79" s="132">
        <f>-Tasa_Impuesto*('Cash Flow'!O7/Reservas_Totales)</f>
        <v>-2.3333333333333331E-2</v>
      </c>
      <c r="T79" s="132">
        <f>-Tasa_Impuesto*('Cash Flow'!P7/Reservas_Totales)</f>
        <v>-2.3333333333333331E-2</v>
      </c>
      <c r="U79" s="132">
        <f>-Tasa_Impuesto*('Cash Flow'!Q7/Reservas_Totales)</f>
        <v>-2.3333333333333331E-2</v>
      </c>
      <c r="Y79" s="109"/>
      <c r="Z79" s="109"/>
      <c r="AA79" s="109"/>
      <c r="AB79" s="109"/>
      <c r="AC79" s="109"/>
      <c r="AD79" s="109"/>
      <c r="AE79" s="109"/>
      <c r="AF79" s="109"/>
    </row>
    <row r="80" spans="1:32" ht="27" customHeight="1" x14ac:dyDescent="0.25">
      <c r="A80" s="109"/>
      <c r="B80" s="129" t="s">
        <v>499</v>
      </c>
      <c r="C80" s="109"/>
      <c r="D80" s="109"/>
      <c r="E80" s="109"/>
      <c r="F80" s="132">
        <v>0</v>
      </c>
      <c r="G80" s="205">
        <f>(1-Tasa_Impuesto)*'Cash Flow'!C26</f>
        <v>179611599.7128267</v>
      </c>
      <c r="H80" s="205">
        <f>(1-Tasa_Impuesto)*'Cash Flow'!D26</f>
        <v>179611599.7128267</v>
      </c>
      <c r="I80" s="205">
        <f>(1-Tasa_Impuesto)*'Cash Flow'!E26</f>
        <v>179611599.7128267</v>
      </c>
      <c r="J80" s="205">
        <f>(1-Tasa_Impuesto)*'Cash Flow'!F26</f>
        <v>179611599.7128267</v>
      </c>
      <c r="K80" s="205">
        <f>(1-Tasa_Impuesto)*'Cash Flow'!G26</f>
        <v>179611599.7128267</v>
      </c>
      <c r="L80" s="203">
        <f>(1-Tasa_Impuesto)*'Cash Flow'!H26</f>
        <v>179611599.7128267</v>
      </c>
      <c r="M80" s="132">
        <f>(1-Tasa_Impuesto)*'Cash Flow'!I26</f>
        <v>179611599.7128267</v>
      </c>
      <c r="N80" s="132">
        <f>(1-Tasa_Impuesto)*'Cash Flow'!J26</f>
        <v>179611599.7128267</v>
      </c>
      <c r="O80" s="132">
        <f>(1-Tasa_Impuesto)*'Cash Flow'!K26</f>
        <v>179611599.7128267</v>
      </c>
      <c r="P80" s="132">
        <f>(1-Tasa_Impuesto)*'Cash Flow'!L26</f>
        <v>179611599.7128267</v>
      </c>
      <c r="Q80" s="132">
        <f>(1-Tasa_Impuesto)*'Cash Flow'!M26</f>
        <v>179611599.7128267</v>
      </c>
      <c r="R80" s="132">
        <f>(1-Tasa_Impuesto)*'Cash Flow'!N26</f>
        <v>179611599.7128267</v>
      </c>
      <c r="S80" s="132">
        <f>(1-Tasa_Impuesto)*'Cash Flow'!O26</f>
        <v>179611599.7128267</v>
      </c>
      <c r="T80" s="132">
        <f>(1-Tasa_Impuesto)*'Cash Flow'!P26</f>
        <v>179611599.7128267</v>
      </c>
      <c r="U80" s="132">
        <f>(1-Tasa_Impuesto)*'Cash Flow'!Q26</f>
        <v>179611599.7128267</v>
      </c>
      <c r="Y80" s="109"/>
      <c r="Z80" s="109"/>
      <c r="AA80" s="109"/>
      <c r="AB80" s="109"/>
      <c r="AC80" s="109"/>
      <c r="AD80" s="109"/>
      <c r="AE80" s="109"/>
      <c r="AF80" s="109"/>
    </row>
    <row r="81" spans="1:32" ht="13.5" customHeight="1" x14ac:dyDescent="0.25">
      <c r="A81" s="109"/>
      <c r="B81" s="5" t="s">
        <v>500</v>
      </c>
      <c r="C81" s="5"/>
      <c r="D81" s="5"/>
      <c r="E81" s="109"/>
      <c r="F81" s="5"/>
      <c r="G81" s="5"/>
      <c r="H81" s="5"/>
      <c r="I81" s="5"/>
      <c r="J81" s="5"/>
      <c r="K81" s="5"/>
      <c r="L81" s="5"/>
      <c r="M81" s="5"/>
      <c r="N81" s="5"/>
      <c r="O81" s="5"/>
      <c r="P81" s="5"/>
      <c r="Q81" s="5"/>
      <c r="R81" s="5"/>
      <c r="S81" s="5"/>
      <c r="T81" s="5"/>
      <c r="U81" s="5"/>
      <c r="Y81" s="109"/>
      <c r="Z81" s="109"/>
      <c r="AA81" s="109"/>
      <c r="AB81" s="109"/>
      <c r="AC81" s="109"/>
      <c r="AD81" s="109"/>
      <c r="AE81" s="109"/>
      <c r="AF81" s="109"/>
    </row>
    <row r="82" spans="1:32" ht="27" customHeight="1" x14ac:dyDescent="0.25">
      <c r="A82" s="109"/>
      <c r="B82" s="129" t="str">
        <f>"FCF y VAN — CAPEX INICIAL TOTAL (" &amp; TEXT(G$7,"0%") &amp; ")"</f>
        <v>FCF y VAN — CAPEX INICIAL TOTAL (-20%)</v>
      </c>
      <c r="C82" s="141">
        <f>F82+NPV(WACC,G82:U82)</f>
        <v>879731835.13083696</v>
      </c>
      <c r="D82" s="204">
        <f>IFERROR(IRR(F82:U82),"N/A")</f>
        <v>0.32209745063211126</v>
      </c>
      <c r="E82" s="132">
        <f>CAPEX_Inicial_Total*(1+G$7)</f>
        <v>-591360000</v>
      </c>
      <c r="F82" s="136">
        <f>CAPEX_Inicial_Total*(1+G$7)</f>
        <v>-591360000</v>
      </c>
      <c r="G82" s="205">
        <f t="shared" ref="G82:U82" si="15">G79*$E82+G80</f>
        <v>193409999.7128267</v>
      </c>
      <c r="H82" s="205">
        <f t="shared" si="15"/>
        <v>193409999.7128267</v>
      </c>
      <c r="I82" s="205">
        <f t="shared" si="15"/>
        <v>193409999.7128267</v>
      </c>
      <c r="J82" s="205">
        <f t="shared" si="15"/>
        <v>193409999.7128267</v>
      </c>
      <c r="K82" s="205">
        <f t="shared" si="15"/>
        <v>193409999.7128267</v>
      </c>
      <c r="L82" s="203">
        <f t="shared" si="15"/>
        <v>193409999.7128267</v>
      </c>
      <c r="M82" s="132">
        <f t="shared" si="15"/>
        <v>193409999.7128267</v>
      </c>
      <c r="N82" s="132">
        <f t="shared" si="15"/>
        <v>193409999.7128267</v>
      </c>
      <c r="O82" s="132">
        <f t="shared" si="15"/>
        <v>193409999.7128267</v>
      </c>
      <c r="P82" s="132">
        <f t="shared" si="15"/>
        <v>193409999.7128267</v>
      </c>
      <c r="Q82" s="132">
        <f t="shared" si="15"/>
        <v>193409999.7128267</v>
      </c>
      <c r="R82" s="132">
        <f t="shared" si="15"/>
        <v>193409999.7128267</v>
      </c>
      <c r="S82" s="132">
        <f t="shared" si="15"/>
        <v>193409999.7128267</v>
      </c>
      <c r="T82" s="132">
        <f t="shared" si="15"/>
        <v>193409999.7128267</v>
      </c>
      <c r="U82" s="132">
        <f t="shared" si="15"/>
        <v>193409999.7128267</v>
      </c>
      <c r="Y82" s="109"/>
      <c r="Z82" s="109"/>
      <c r="AA82" s="109"/>
      <c r="AB82" s="109"/>
      <c r="AC82" s="109"/>
      <c r="AD82" s="109"/>
      <c r="AE82" s="109"/>
      <c r="AF82" s="109"/>
    </row>
    <row r="83" spans="1:32" ht="40.5" customHeight="1" x14ac:dyDescent="0.25">
      <c r="A83" s="109"/>
      <c r="B83" s="129" t="str">
        <f>"FCF y VAN — CAPEX INICIAL TOTAL (" &amp; TEXT(H$7,"0%") &amp; ")"</f>
        <v>FCF y VAN — CAPEX INICIAL TOTAL (-10%)</v>
      </c>
      <c r="C83" s="141">
        <f>F83+NPV(WACC,G83:U83)</f>
        <v>818930801.06331778</v>
      </c>
      <c r="D83" s="204">
        <f>IFERROR(IRR(F83:U83),"N/A")</f>
        <v>0.28661998173574355</v>
      </c>
      <c r="E83" s="132">
        <f>CAPEX_Inicial_Total*(1+H$7)</f>
        <v>-665280000</v>
      </c>
      <c r="F83" s="136">
        <f>CAPEX_Inicial_Total*(1+H$7)</f>
        <v>-665280000</v>
      </c>
      <c r="G83" s="211">
        <f t="shared" ref="G83:U83" si="16">G79*$E83+G80</f>
        <v>195134799.7128267</v>
      </c>
      <c r="H83" s="211">
        <f t="shared" si="16"/>
        <v>195134799.7128267</v>
      </c>
      <c r="I83" s="211">
        <f t="shared" si="16"/>
        <v>195134799.7128267</v>
      </c>
      <c r="J83" s="211">
        <f t="shared" si="16"/>
        <v>195134799.7128267</v>
      </c>
      <c r="K83" s="211">
        <f t="shared" si="16"/>
        <v>195134799.7128267</v>
      </c>
      <c r="L83" s="203">
        <f t="shared" si="16"/>
        <v>195134799.7128267</v>
      </c>
      <c r="M83" s="132">
        <f t="shared" si="16"/>
        <v>195134799.7128267</v>
      </c>
      <c r="N83" s="132">
        <f t="shared" si="16"/>
        <v>195134799.7128267</v>
      </c>
      <c r="O83" s="132">
        <f t="shared" si="16"/>
        <v>195134799.7128267</v>
      </c>
      <c r="P83" s="132">
        <f t="shared" si="16"/>
        <v>195134799.7128267</v>
      </c>
      <c r="Q83" s="132">
        <f t="shared" si="16"/>
        <v>195134799.7128267</v>
      </c>
      <c r="R83" s="132">
        <f t="shared" si="16"/>
        <v>195134799.7128267</v>
      </c>
      <c r="S83" s="132">
        <f t="shared" si="16"/>
        <v>195134799.7128267</v>
      </c>
      <c r="T83" s="132">
        <f t="shared" si="16"/>
        <v>195134799.7128267</v>
      </c>
      <c r="U83" s="132">
        <f t="shared" si="16"/>
        <v>195134799.7128267</v>
      </c>
      <c r="Y83" s="109"/>
      <c r="Z83" s="109"/>
      <c r="AA83" s="109"/>
      <c r="AB83" s="109"/>
      <c r="AC83" s="109"/>
      <c r="AD83" s="109"/>
      <c r="AE83" s="109"/>
      <c r="AF83" s="109"/>
    </row>
    <row r="84" spans="1:32" ht="27" customHeight="1" x14ac:dyDescent="0.25">
      <c r="A84" s="109"/>
      <c r="B84" s="129" t="str">
        <f>"FCF y VAN — CAPEX INICIAL TOTAL (" &amp; TEXT(I$7,"0%") &amp; ")"</f>
        <v>FCF y VAN — CAPEX INICIAL TOTAL (0%)</v>
      </c>
      <c r="C84" s="141">
        <f>F84+NPV(WACC,G84:U84)</f>
        <v>758129766.99579787</v>
      </c>
      <c r="D84" s="204">
        <f>IFERROR(IRR(F84:U84),"N/A")</f>
        <v>0.25777668034292822</v>
      </c>
      <c r="E84" s="132">
        <f>CAPEX_Inicial_Total*(1+I$7)</f>
        <v>-739200000</v>
      </c>
      <c r="F84" s="136">
        <f>CAPEX_Inicial_Total*(1+I$7)</f>
        <v>-739200000</v>
      </c>
      <c r="G84" s="132">
        <f t="shared" ref="G84:U84" si="17">G79*$E84+G80</f>
        <v>196859599.7128267</v>
      </c>
      <c r="H84" s="132">
        <f t="shared" si="17"/>
        <v>196859599.7128267</v>
      </c>
      <c r="I84" s="132">
        <f t="shared" si="17"/>
        <v>196859599.7128267</v>
      </c>
      <c r="J84" s="132">
        <f t="shared" si="17"/>
        <v>196859599.7128267</v>
      </c>
      <c r="K84" s="132">
        <f t="shared" si="17"/>
        <v>196859599.7128267</v>
      </c>
      <c r="L84" s="203">
        <f t="shared" si="17"/>
        <v>196859599.7128267</v>
      </c>
      <c r="M84" s="132">
        <f t="shared" si="17"/>
        <v>196859599.7128267</v>
      </c>
      <c r="N84" s="132">
        <f t="shared" si="17"/>
        <v>196859599.7128267</v>
      </c>
      <c r="O84" s="132">
        <f t="shared" si="17"/>
        <v>196859599.7128267</v>
      </c>
      <c r="P84" s="132">
        <f t="shared" si="17"/>
        <v>196859599.7128267</v>
      </c>
      <c r="Q84" s="132">
        <f t="shared" si="17"/>
        <v>196859599.7128267</v>
      </c>
      <c r="R84" s="132">
        <f t="shared" si="17"/>
        <v>196859599.7128267</v>
      </c>
      <c r="S84" s="132">
        <f t="shared" si="17"/>
        <v>196859599.7128267</v>
      </c>
      <c r="T84" s="132">
        <f t="shared" si="17"/>
        <v>196859599.7128267</v>
      </c>
      <c r="U84" s="132">
        <f t="shared" si="17"/>
        <v>196859599.7128267</v>
      </c>
      <c r="Y84" s="109"/>
      <c r="Z84" s="109"/>
      <c r="AA84" s="109"/>
      <c r="AB84" s="109"/>
      <c r="AC84" s="109"/>
      <c r="AD84" s="109"/>
      <c r="AE84" s="109"/>
      <c r="AF84" s="109"/>
    </row>
    <row r="85" spans="1:32" ht="13.5" customHeight="1" x14ac:dyDescent="0.25">
      <c r="A85" s="109"/>
      <c r="B85" s="129" t="str">
        <f>"FCF y VAN — CAPEX INICIAL TOTAL (" &amp; TEXT(J$7,"0%") &amp; ")"</f>
        <v>FCF y VAN — CAPEX INICIAL TOTAL (10%)</v>
      </c>
      <c r="C85" s="141">
        <f>F85+NPV(WACC,G85:U85)</f>
        <v>697328732.92827833</v>
      </c>
      <c r="D85" s="204">
        <f>IFERROR(IRR(F85:U85),"N/A")</f>
        <v>0.23377152248694921</v>
      </c>
      <c r="E85" s="132">
        <f>CAPEX_Inicial_Total*(1+J$7)</f>
        <v>-813120000.00000012</v>
      </c>
      <c r="F85" s="136">
        <f>CAPEX_Inicial_Total*(1+J$7)</f>
        <v>-813120000.00000012</v>
      </c>
      <c r="G85" s="132">
        <f t="shared" ref="G85:U85" si="18">G79*$E85+G80</f>
        <v>198584399.7128267</v>
      </c>
      <c r="H85" s="132">
        <f t="shared" si="18"/>
        <v>198584399.7128267</v>
      </c>
      <c r="I85" s="132">
        <f t="shared" si="18"/>
        <v>198584399.7128267</v>
      </c>
      <c r="J85" s="132">
        <f t="shared" si="18"/>
        <v>198584399.7128267</v>
      </c>
      <c r="K85" s="132">
        <f t="shared" si="18"/>
        <v>198584399.7128267</v>
      </c>
      <c r="L85" s="203">
        <f t="shared" si="18"/>
        <v>198584399.7128267</v>
      </c>
      <c r="M85" s="132">
        <f t="shared" si="18"/>
        <v>198584399.7128267</v>
      </c>
      <c r="N85" s="132">
        <f t="shared" si="18"/>
        <v>198584399.7128267</v>
      </c>
      <c r="O85" s="132">
        <f t="shared" si="18"/>
        <v>198584399.7128267</v>
      </c>
      <c r="P85" s="132">
        <f t="shared" si="18"/>
        <v>198584399.7128267</v>
      </c>
      <c r="Q85" s="132">
        <f t="shared" si="18"/>
        <v>198584399.7128267</v>
      </c>
      <c r="R85" s="132">
        <f t="shared" si="18"/>
        <v>198584399.7128267</v>
      </c>
      <c r="S85" s="132">
        <f t="shared" si="18"/>
        <v>198584399.7128267</v>
      </c>
      <c r="T85" s="132">
        <f t="shared" si="18"/>
        <v>198584399.7128267</v>
      </c>
      <c r="U85" s="132">
        <f t="shared" si="18"/>
        <v>198584399.7128267</v>
      </c>
      <c r="Y85" s="109"/>
      <c r="Z85" s="109"/>
      <c r="AA85" s="109"/>
      <c r="AB85" s="109"/>
      <c r="AC85" s="109"/>
      <c r="AD85" s="109"/>
      <c r="AE85" s="109"/>
      <c r="AF85" s="109"/>
    </row>
    <row r="86" spans="1:32" ht="13.5" customHeight="1" x14ac:dyDescent="0.25">
      <c r="A86" s="109"/>
      <c r="B86" s="143" t="str">
        <f>"FCF y VAN — CAPEX INICIAL TOTAL (" &amp; TEXT(K$7,"0%") &amp; ")"</f>
        <v>FCF y VAN — CAPEX INICIAL TOTAL (20%)</v>
      </c>
      <c r="C86" s="141">
        <f>F86+NPV(WACC,G86:U86)</f>
        <v>636527698.86075926</v>
      </c>
      <c r="D86" s="204">
        <f>IFERROR(IRR(F86:U86),"N/A")</f>
        <v>0.21341141366315775</v>
      </c>
      <c r="E86" s="132">
        <f>CAPEX_Inicial_Total*(1+K$7)</f>
        <v>-887040000</v>
      </c>
      <c r="F86" s="136">
        <f>CAPEX_Inicial_Total*(1+K$7)</f>
        <v>-887040000</v>
      </c>
      <c r="G86" s="132">
        <f t="shared" ref="G86:U86" si="19">G79*$E86+G80</f>
        <v>200309199.7128267</v>
      </c>
      <c r="H86" s="132">
        <f t="shared" si="19"/>
        <v>200309199.7128267</v>
      </c>
      <c r="I86" s="132">
        <f t="shared" si="19"/>
        <v>200309199.7128267</v>
      </c>
      <c r="J86" s="132">
        <f t="shared" si="19"/>
        <v>200309199.7128267</v>
      </c>
      <c r="K86" s="132">
        <f t="shared" si="19"/>
        <v>200309199.7128267</v>
      </c>
      <c r="L86" s="132">
        <f t="shared" si="19"/>
        <v>200309199.7128267</v>
      </c>
      <c r="M86" s="132">
        <f t="shared" si="19"/>
        <v>200309199.7128267</v>
      </c>
      <c r="N86" s="132">
        <f t="shared" si="19"/>
        <v>200309199.7128267</v>
      </c>
      <c r="O86" s="132">
        <f t="shared" si="19"/>
        <v>200309199.7128267</v>
      </c>
      <c r="P86" s="132">
        <f t="shared" si="19"/>
        <v>200309199.7128267</v>
      </c>
      <c r="Q86" s="132">
        <f t="shared" si="19"/>
        <v>200309199.7128267</v>
      </c>
      <c r="R86" s="132">
        <f t="shared" si="19"/>
        <v>200309199.7128267</v>
      </c>
      <c r="S86" s="132">
        <f t="shared" si="19"/>
        <v>200309199.7128267</v>
      </c>
      <c r="T86" s="132">
        <f t="shared" si="19"/>
        <v>200309199.7128267</v>
      </c>
      <c r="U86" s="132">
        <f t="shared" si="19"/>
        <v>200309199.7128267</v>
      </c>
      <c r="Y86" s="109"/>
      <c r="Z86" s="109"/>
      <c r="AA86" s="109"/>
      <c r="AB86" s="109"/>
      <c r="AC86" s="109"/>
      <c r="AD86" s="109"/>
      <c r="AE86" s="109"/>
      <c r="AF86" s="109"/>
    </row>
    <row r="87" spans="1:32" ht="13.5" customHeight="1" x14ac:dyDescent="0.25">
      <c r="A87" s="109"/>
      <c r="B87" s="108"/>
      <c r="C87" s="109"/>
      <c r="D87" s="109"/>
      <c r="E87" s="109"/>
      <c r="F87" s="109"/>
      <c r="G87" s="208"/>
      <c r="H87" s="208"/>
      <c r="I87" s="208"/>
      <c r="J87" s="208"/>
      <c r="K87" s="208"/>
      <c r="L87" s="109"/>
      <c r="M87" s="109"/>
      <c r="N87" s="109"/>
      <c r="O87" s="109"/>
      <c r="P87" s="109"/>
      <c r="Q87" s="109"/>
      <c r="R87" s="109"/>
      <c r="S87" s="109"/>
      <c r="T87" s="109"/>
      <c r="U87" s="109"/>
      <c r="Y87" s="109"/>
      <c r="Z87" s="109"/>
      <c r="AA87" s="109"/>
      <c r="AB87" s="109"/>
      <c r="AC87" s="109"/>
      <c r="AD87" s="109"/>
      <c r="AE87" s="109"/>
      <c r="AF87" s="109"/>
    </row>
    <row r="88" spans="1:32" ht="13.5" customHeight="1" x14ac:dyDescent="0.25">
      <c r="A88" s="109"/>
      <c r="B88" s="200" t="s">
        <v>507</v>
      </c>
      <c r="C88" s="200"/>
      <c r="D88" s="200"/>
      <c r="E88" s="109"/>
      <c r="F88" s="200"/>
      <c r="G88" s="200"/>
      <c r="H88" s="200"/>
      <c r="I88" s="200"/>
      <c r="J88" s="200"/>
      <c r="K88" s="200"/>
      <c r="L88" s="200"/>
      <c r="M88" s="200"/>
      <c r="N88" s="200"/>
      <c r="O88" s="200"/>
      <c r="P88" s="200"/>
      <c r="Q88" s="200"/>
      <c r="R88" s="200"/>
      <c r="S88" s="200"/>
      <c r="T88" s="200"/>
      <c r="U88" s="200"/>
      <c r="Y88" s="109"/>
      <c r="Z88" s="109"/>
      <c r="AA88" s="109"/>
      <c r="AB88" s="109"/>
      <c r="AC88" s="109"/>
      <c r="AD88" s="109"/>
      <c r="AE88" s="109"/>
      <c r="AF88" s="109"/>
    </row>
    <row r="89" spans="1:32" ht="27.75" customHeight="1" x14ac:dyDescent="0.25">
      <c r="A89" s="109"/>
      <c r="B89" s="5" t="s">
        <v>508</v>
      </c>
      <c r="C89" s="5"/>
      <c r="D89" s="5"/>
      <c r="E89" s="109"/>
      <c r="F89" s="5"/>
      <c r="G89" s="5"/>
      <c r="H89" s="5"/>
      <c r="I89" s="5"/>
      <c r="J89" s="5"/>
      <c r="K89" s="5"/>
      <c r="L89" s="5"/>
      <c r="M89" s="5"/>
      <c r="N89" s="5"/>
      <c r="O89" s="5"/>
      <c r="P89" s="5"/>
      <c r="Q89" s="5"/>
      <c r="R89" s="5"/>
      <c r="S89" s="5"/>
      <c r="T89" s="5"/>
      <c r="U89" s="5"/>
      <c r="Y89" s="109"/>
      <c r="Z89" s="109"/>
      <c r="AA89" s="109"/>
      <c r="AB89" s="109"/>
      <c r="AC89" s="109"/>
      <c r="AD89" s="109"/>
      <c r="AE89" s="109"/>
      <c r="AF89" s="109"/>
    </row>
    <row r="90" spans="1:32" ht="27" customHeight="1" x14ac:dyDescent="0.25">
      <c r="A90" s="109"/>
      <c r="B90" s="110" t="s">
        <v>196</v>
      </c>
      <c r="C90" s="201" t="s">
        <v>495</v>
      </c>
      <c r="D90" s="201" t="s">
        <v>496</v>
      </c>
      <c r="E90" s="201" t="s">
        <v>497</v>
      </c>
      <c r="F90" s="201" t="s">
        <v>399</v>
      </c>
      <c r="G90" s="111" t="s">
        <v>400</v>
      </c>
      <c r="H90" s="111" t="s">
        <v>401</v>
      </c>
      <c r="I90" s="111" t="s">
        <v>402</v>
      </c>
      <c r="J90" s="111" t="s">
        <v>403</v>
      </c>
      <c r="K90" s="111" t="s">
        <v>404</v>
      </c>
      <c r="L90" s="111" t="s">
        <v>405</v>
      </c>
      <c r="M90" s="111" t="s">
        <v>406</v>
      </c>
      <c r="N90" s="111" t="s">
        <v>407</v>
      </c>
      <c r="O90" s="111" t="s">
        <v>408</v>
      </c>
      <c r="P90" s="111" t="s">
        <v>409</v>
      </c>
      <c r="Q90" s="111" t="s">
        <v>410</v>
      </c>
      <c r="R90" s="111" t="s">
        <v>411</v>
      </c>
      <c r="S90" s="111" t="s">
        <v>412</v>
      </c>
      <c r="T90" s="111" t="s">
        <v>413</v>
      </c>
      <c r="U90" s="111" t="s">
        <v>414</v>
      </c>
      <c r="Y90" s="109"/>
      <c r="Z90" s="109"/>
      <c r="AA90" s="109"/>
      <c r="AB90" s="109"/>
      <c r="AC90" s="109"/>
      <c r="AD90" s="109"/>
      <c r="AE90" s="109"/>
      <c r="AF90" s="109"/>
    </row>
    <row r="91" spans="1:32" ht="27.75" customHeight="1" x14ac:dyDescent="0.25">
      <c r="A91" s="109"/>
      <c r="B91" s="129" t="s">
        <v>498</v>
      </c>
      <c r="C91" s="109"/>
      <c r="D91" s="109"/>
      <c r="E91" s="109"/>
      <c r="F91" s="132">
        <v>0</v>
      </c>
      <c r="G91" s="132">
        <f>'Cash Flow'!C25*(1-Tasa_Impuesto)</f>
        <v>-87750000</v>
      </c>
      <c r="H91" s="132">
        <f>'Cash Flow'!D25*(1-Tasa_Impuesto)</f>
        <v>-87750000</v>
      </c>
      <c r="I91" s="132">
        <f>'Cash Flow'!E25*(1-Tasa_Impuesto)</f>
        <v>-87750000</v>
      </c>
      <c r="J91" s="132">
        <f>'Cash Flow'!F25*(1-Tasa_Impuesto)</f>
        <v>-87750000</v>
      </c>
      <c r="K91" s="132">
        <f>'Cash Flow'!G25*(1-Tasa_Impuesto)</f>
        <v>-87750000</v>
      </c>
      <c r="L91" s="132">
        <f>'Cash Flow'!H25*(1-Tasa_Impuesto)</f>
        <v>-87750000</v>
      </c>
      <c r="M91" s="132">
        <f>'Cash Flow'!I25*(1-Tasa_Impuesto)</f>
        <v>-87750000</v>
      </c>
      <c r="N91" s="132">
        <f>'Cash Flow'!J25*(1-Tasa_Impuesto)</f>
        <v>-87750000</v>
      </c>
      <c r="O91" s="132">
        <f>'Cash Flow'!K25*(1-Tasa_Impuesto)</f>
        <v>-87750000</v>
      </c>
      <c r="P91" s="132">
        <f>'Cash Flow'!L25*(1-Tasa_Impuesto)</f>
        <v>-87750000</v>
      </c>
      <c r="Q91" s="132">
        <f>'Cash Flow'!M25*(1-Tasa_Impuesto)</f>
        <v>-87750000</v>
      </c>
      <c r="R91" s="132">
        <f>'Cash Flow'!N25*(1-Tasa_Impuesto)</f>
        <v>-87750000</v>
      </c>
      <c r="S91" s="132">
        <f>'Cash Flow'!O25*(1-Tasa_Impuesto)</f>
        <v>-87750000</v>
      </c>
      <c r="T91" s="132">
        <f>'Cash Flow'!P25*(1-Tasa_Impuesto)</f>
        <v>-87750000</v>
      </c>
      <c r="U91" s="132">
        <f>'Cash Flow'!Q25*(1-Tasa_Impuesto)</f>
        <v>-87750000</v>
      </c>
      <c r="Y91" s="109"/>
      <c r="Z91" s="109"/>
      <c r="AA91" s="109"/>
      <c r="AB91" s="109"/>
      <c r="AC91" s="109"/>
      <c r="AD91" s="109"/>
      <c r="AE91" s="109"/>
      <c r="AF91" s="109"/>
    </row>
    <row r="92" spans="1:32" ht="27" customHeight="1" x14ac:dyDescent="0.25">
      <c r="A92" s="109"/>
      <c r="B92" s="129" t="s">
        <v>499</v>
      </c>
      <c r="C92" s="109"/>
      <c r="D92" s="109"/>
      <c r="E92" s="109"/>
      <c r="F92" s="132">
        <v>0</v>
      </c>
      <c r="G92" s="213">
        <f>'Cash Flow'!C33</f>
        <v>196859599.7128267</v>
      </c>
      <c r="H92" s="213">
        <f>'Cash Flow'!D33</f>
        <v>196859599.7128267</v>
      </c>
      <c r="I92" s="213">
        <f>'Cash Flow'!E33</f>
        <v>196859599.7128267</v>
      </c>
      <c r="J92" s="213">
        <f>'Cash Flow'!F33</f>
        <v>196859599.7128267</v>
      </c>
      <c r="K92" s="213">
        <f>'Cash Flow'!G33</f>
        <v>196859599.7128267</v>
      </c>
      <c r="L92" s="203">
        <f>'Cash Flow'!H33</f>
        <v>196859599.7128267</v>
      </c>
      <c r="M92" s="132">
        <f>'Cash Flow'!I33</f>
        <v>196859599.7128267</v>
      </c>
      <c r="N92" s="132">
        <f>'Cash Flow'!J33</f>
        <v>196859599.7128267</v>
      </c>
      <c r="O92" s="132">
        <f>'Cash Flow'!K33</f>
        <v>196859599.7128267</v>
      </c>
      <c r="P92" s="132">
        <f>'Cash Flow'!L33</f>
        <v>196859599.7128267</v>
      </c>
      <c r="Q92" s="132">
        <f>'Cash Flow'!M33</f>
        <v>196859599.7128267</v>
      </c>
      <c r="R92" s="132">
        <f>'Cash Flow'!N33</f>
        <v>196859599.7128267</v>
      </c>
      <c r="S92" s="132">
        <f>'Cash Flow'!O33</f>
        <v>196859599.7128267</v>
      </c>
      <c r="T92" s="132">
        <f>'Cash Flow'!P33</f>
        <v>196859599.7128267</v>
      </c>
      <c r="U92" s="132">
        <f>'Cash Flow'!Q33</f>
        <v>122939599.7128267</v>
      </c>
      <c r="Y92" s="109"/>
      <c r="Z92" s="109"/>
      <c r="AA92" s="109"/>
      <c r="AB92" s="109"/>
      <c r="AC92" s="109"/>
      <c r="AD92" s="109"/>
      <c r="AE92" s="109"/>
      <c r="AF92" s="109"/>
    </row>
    <row r="93" spans="1:32" ht="27" customHeight="1" x14ac:dyDescent="0.25">
      <c r="A93" s="109"/>
      <c r="B93" s="3" t="s">
        <v>500</v>
      </c>
      <c r="C93" s="5"/>
      <c r="D93" s="5"/>
      <c r="E93" s="109"/>
      <c r="F93" s="5"/>
      <c r="G93" s="5"/>
      <c r="H93" s="5"/>
      <c r="I93" s="5"/>
      <c r="J93" s="5"/>
      <c r="K93" s="5"/>
      <c r="L93" s="5"/>
      <c r="M93" s="5"/>
      <c r="N93" s="5"/>
      <c r="O93" s="5"/>
      <c r="P93" s="5"/>
      <c r="Q93" s="5"/>
      <c r="R93" s="5"/>
      <c r="S93" s="5"/>
      <c r="T93" s="5"/>
      <c r="U93" s="5"/>
      <c r="Y93" s="109"/>
      <c r="Z93" s="109"/>
      <c r="AA93" s="109"/>
      <c r="AB93" s="109"/>
      <c r="AC93" s="109"/>
      <c r="AD93" s="109"/>
      <c r="AE93" s="109"/>
      <c r="AF93" s="109"/>
    </row>
    <row r="94" spans="1:32" ht="27" customHeight="1" x14ac:dyDescent="0.25">
      <c r="A94" s="109"/>
      <c r="B94" s="129" t="str">
        <f>"FCF y VAN — OPEX TOTAL ANUAL (" &amp; TEXT(G$7,"0%") &amp; ")"</f>
        <v>FCF y VAN — OPEX TOTAL ANUAL (-20%)</v>
      </c>
      <c r="C94" s="141">
        <f>F94+NPV(WACC,G94:U94)</f>
        <v>873920602.04214096</v>
      </c>
      <c r="D94" s="204">
        <f>IFERROR(IRR(F94:U94),"N/A")</f>
        <v>0.28242965269537934</v>
      </c>
      <c r="E94" s="132">
        <f>OPEX_Total_Anual*(1+G$7)</f>
        <v>-108000000</v>
      </c>
      <c r="F94" s="136">
        <f>CAPEX_Inicial_Total</f>
        <v>-739200000</v>
      </c>
      <c r="G94" s="132">
        <f>G91*G$7+G92</f>
        <v>214409599.7128267</v>
      </c>
      <c r="H94" s="132">
        <f>H91*G$7+H92</f>
        <v>214409599.7128267</v>
      </c>
      <c r="I94" s="132">
        <f>I91*G$7+I92</f>
        <v>214409599.7128267</v>
      </c>
      <c r="J94" s="132">
        <f>J91*G$7+J92</f>
        <v>214409599.7128267</v>
      </c>
      <c r="K94" s="132">
        <f>K91*G$7+K92</f>
        <v>214409599.7128267</v>
      </c>
      <c r="L94" s="132">
        <f>L91*G$7+L92</f>
        <v>214409599.7128267</v>
      </c>
      <c r="M94" s="132">
        <f>M91*G$7+M92</f>
        <v>214409599.7128267</v>
      </c>
      <c r="N94" s="132">
        <f>N91*G$7+N92</f>
        <v>214409599.7128267</v>
      </c>
      <c r="O94" s="132">
        <f>O91*G$7+O92</f>
        <v>214409599.7128267</v>
      </c>
      <c r="P94" s="132">
        <f>P91*G$7+P92</f>
        <v>214409599.7128267</v>
      </c>
      <c r="Q94" s="132">
        <f>Q91*G$7+Q92</f>
        <v>214409599.7128267</v>
      </c>
      <c r="R94" s="132">
        <f>R91*G$7+R92</f>
        <v>214409599.7128267</v>
      </c>
      <c r="S94" s="132">
        <f>S91*G$7+S92</f>
        <v>214409599.7128267</v>
      </c>
      <c r="T94" s="132">
        <f>T91*G$7+T92</f>
        <v>214409599.7128267</v>
      </c>
      <c r="U94" s="132">
        <f>U91*G$7+U92</f>
        <v>140489599.7128267</v>
      </c>
      <c r="Y94" s="109"/>
      <c r="Z94" s="109"/>
      <c r="AA94" s="109"/>
      <c r="AB94" s="109"/>
      <c r="AC94" s="109"/>
      <c r="AD94" s="109"/>
      <c r="AE94" s="109"/>
      <c r="AF94" s="109"/>
    </row>
    <row r="95" spans="1:32" ht="27" customHeight="1" x14ac:dyDescent="0.25">
      <c r="A95" s="109"/>
      <c r="B95" s="129" t="str">
        <f>"FCF y VAN — OPEX TOTAL ANUAL (" &amp; TEXT(H$7,"0%") &amp; ")"</f>
        <v>FCF y VAN — OPEX TOTAL ANUAL (-10%)</v>
      </c>
      <c r="C95" s="141">
        <f>F95+NPV(WACC,G95:U95)</f>
        <v>807177254.37428522</v>
      </c>
      <c r="D95" s="204">
        <f>IFERROR(IRR(F95:U95),"N/A")</f>
        <v>0.26969274065677618</v>
      </c>
      <c r="E95" s="132">
        <f>OPEX_Total_Anual*(1+H$7)</f>
        <v>-121500000</v>
      </c>
      <c r="F95" s="136">
        <f>CAPEX_Inicial_Total</f>
        <v>-739200000</v>
      </c>
      <c r="G95" s="213">
        <f>G91*H$7+G92</f>
        <v>205634599.7128267</v>
      </c>
      <c r="H95" s="213">
        <f>H91*H$7+H92</f>
        <v>205634599.7128267</v>
      </c>
      <c r="I95" s="213">
        <f>I91*H$7+I92</f>
        <v>205634599.7128267</v>
      </c>
      <c r="J95" s="213">
        <f>J91*H$7+J92</f>
        <v>205634599.7128267</v>
      </c>
      <c r="K95" s="213">
        <f>K91*H$7+K92</f>
        <v>205634599.7128267</v>
      </c>
      <c r="L95" s="203">
        <f>L91*H$7+L92</f>
        <v>205634599.7128267</v>
      </c>
      <c r="M95" s="132">
        <f>M91*H$7+M92</f>
        <v>205634599.7128267</v>
      </c>
      <c r="N95" s="132">
        <f>N91*H$7+N92</f>
        <v>205634599.7128267</v>
      </c>
      <c r="O95" s="132">
        <f>O91*H$7+O92</f>
        <v>205634599.7128267</v>
      </c>
      <c r="P95" s="132">
        <f>P91*H$7+P92</f>
        <v>205634599.7128267</v>
      </c>
      <c r="Q95" s="132">
        <f>Q91*H$7+Q92</f>
        <v>205634599.7128267</v>
      </c>
      <c r="R95" s="132">
        <f>R91*H$7+R92</f>
        <v>205634599.7128267</v>
      </c>
      <c r="S95" s="132">
        <f>S91*H$7+S92</f>
        <v>205634599.7128267</v>
      </c>
      <c r="T95" s="132">
        <f>T91*H$7+T92</f>
        <v>205634599.7128267</v>
      </c>
      <c r="U95" s="132">
        <f>U91*H$7+U92</f>
        <v>131714599.7128267</v>
      </c>
      <c r="Y95" s="109"/>
      <c r="Z95" s="109"/>
      <c r="AA95" s="109"/>
      <c r="AB95" s="109"/>
      <c r="AC95" s="109"/>
      <c r="AD95" s="109"/>
      <c r="AE95" s="109"/>
      <c r="AF95" s="109"/>
    </row>
    <row r="96" spans="1:32" ht="27" customHeight="1" x14ac:dyDescent="0.25">
      <c r="A96" s="109"/>
      <c r="B96" s="129" t="str">
        <f>"FCF y VAN — OPEX TOTAL ANUAL (" &amp; TEXT(I$7,"0%") &amp; ")"</f>
        <v>FCF y VAN — OPEX TOTAL ANUAL (0%)</v>
      </c>
      <c r="C96" s="141">
        <f>F96+NPV(WACC,G96:U96)</f>
        <v>740433906.70642924</v>
      </c>
      <c r="D96" s="204">
        <f>IFERROR(IRR(F96:U96),"N/A")</f>
        <v>0.25684908406719242</v>
      </c>
      <c r="E96" s="132">
        <f>OPEX_Total_Anual*(1+I$7)</f>
        <v>-135000000</v>
      </c>
      <c r="F96" s="136">
        <f>CAPEX_Inicial_Total</f>
        <v>-739200000</v>
      </c>
      <c r="G96" s="205">
        <f>G91*I$7+G92</f>
        <v>196859599.7128267</v>
      </c>
      <c r="H96" s="205">
        <f>H91*I$7+H92</f>
        <v>196859599.7128267</v>
      </c>
      <c r="I96" s="205">
        <f>I91*I$7+I92</f>
        <v>196859599.7128267</v>
      </c>
      <c r="J96" s="205">
        <f>J91*I$7+J92</f>
        <v>196859599.7128267</v>
      </c>
      <c r="K96" s="205">
        <f>K91*I$7+K92</f>
        <v>196859599.7128267</v>
      </c>
      <c r="L96" s="203">
        <f>L91*I$7+L92</f>
        <v>196859599.7128267</v>
      </c>
      <c r="M96" s="132">
        <f>M91*I$7+M92</f>
        <v>196859599.7128267</v>
      </c>
      <c r="N96" s="132">
        <f>N91*I$7+N92</f>
        <v>196859599.7128267</v>
      </c>
      <c r="O96" s="132">
        <f>O91*I$7+O92</f>
        <v>196859599.7128267</v>
      </c>
      <c r="P96" s="132">
        <f>P91*I$7+P92</f>
        <v>196859599.7128267</v>
      </c>
      <c r="Q96" s="132">
        <f>Q91*I$7+Q92</f>
        <v>196859599.7128267</v>
      </c>
      <c r="R96" s="132">
        <f>R91*I$7+R92</f>
        <v>196859599.7128267</v>
      </c>
      <c r="S96" s="132">
        <f>S91*I$7+S92</f>
        <v>196859599.7128267</v>
      </c>
      <c r="T96" s="132">
        <f>T91*I$7+T92</f>
        <v>196859599.7128267</v>
      </c>
      <c r="U96" s="132">
        <f>U91*I$7+U92</f>
        <v>122939599.7128267</v>
      </c>
      <c r="Y96" s="109"/>
      <c r="Z96" s="109"/>
      <c r="AA96" s="109"/>
      <c r="AB96" s="109"/>
      <c r="AC96" s="109"/>
      <c r="AD96" s="109"/>
      <c r="AE96" s="109"/>
      <c r="AF96" s="109"/>
    </row>
    <row r="97" spans="1:32" ht="27" customHeight="1" x14ac:dyDescent="0.25">
      <c r="A97" s="109"/>
      <c r="B97" s="129" t="str">
        <f>"FCF y VAN — OPEX TOTAL ANUAL (" &amp; TEXT(J$7,"0%") &amp; ")"</f>
        <v>FCF y VAN — OPEX TOTAL ANUAL (10%)</v>
      </c>
      <c r="C97" s="141">
        <f>F97+NPV(WACC,G97:U97)</f>
        <v>673690559.0385735</v>
      </c>
      <c r="D97" s="204">
        <f>IFERROR(IRR(F97:U97),"N/A")</f>
        <v>0.24388392287920801</v>
      </c>
      <c r="E97" s="132">
        <f>OPEX_Total_Anual*(1+J$7)</f>
        <v>-148500000</v>
      </c>
      <c r="F97" s="136">
        <f>CAPEX_Inicial_Total</f>
        <v>-739200000</v>
      </c>
      <c r="G97" s="205">
        <f>G91*J$7+G92</f>
        <v>188084599.7128267</v>
      </c>
      <c r="H97" s="205">
        <f>H91*J$7+H92</f>
        <v>188084599.7128267</v>
      </c>
      <c r="I97" s="205">
        <f>I91*J$7+I92</f>
        <v>188084599.7128267</v>
      </c>
      <c r="J97" s="205">
        <f>J91*J$7+J92</f>
        <v>188084599.7128267</v>
      </c>
      <c r="K97" s="205">
        <f>K91*J$7+K92</f>
        <v>188084599.7128267</v>
      </c>
      <c r="L97" s="203">
        <f>L91*J$7+L92</f>
        <v>188084599.7128267</v>
      </c>
      <c r="M97" s="132">
        <f>M91*J$7+M92</f>
        <v>188084599.7128267</v>
      </c>
      <c r="N97" s="132">
        <f>N91*J$7+N92</f>
        <v>188084599.7128267</v>
      </c>
      <c r="O97" s="132">
        <f>O91*J$7+O92</f>
        <v>188084599.7128267</v>
      </c>
      <c r="P97" s="132">
        <f>P91*J$7+P92</f>
        <v>188084599.7128267</v>
      </c>
      <c r="Q97" s="132">
        <f>Q91*J$7+Q92</f>
        <v>188084599.7128267</v>
      </c>
      <c r="R97" s="132">
        <f>R91*J$7+R92</f>
        <v>188084599.7128267</v>
      </c>
      <c r="S97" s="132">
        <f>S91*J$7+S92</f>
        <v>188084599.7128267</v>
      </c>
      <c r="T97" s="132">
        <f>T91*J$7+T92</f>
        <v>188084599.7128267</v>
      </c>
      <c r="U97" s="132">
        <f>U91*J$7+U92</f>
        <v>114164599.7128267</v>
      </c>
      <c r="Y97" s="109"/>
      <c r="Z97" s="109"/>
      <c r="AA97" s="109"/>
      <c r="AB97" s="109"/>
      <c r="AC97" s="109"/>
      <c r="AD97" s="109"/>
      <c r="AE97" s="109"/>
      <c r="AF97" s="109"/>
    </row>
    <row r="98" spans="1:32" ht="23.25" customHeight="1" x14ac:dyDescent="0.25">
      <c r="A98" s="109"/>
      <c r="B98" s="129" t="str">
        <f>"FCF y VAN — OPEX TOTAL ANUAL (" &amp; TEXT(K$7,"0%") &amp; ")"</f>
        <v>FCF y VAN — OPEX TOTAL ANUAL (20%)</v>
      </c>
      <c r="C98" s="141">
        <f>F98+NPV(WACC,G98:U98)</f>
        <v>606947211.370718</v>
      </c>
      <c r="D98" s="204">
        <f>IFERROR(IRR(F98:U98),"N/A")</f>
        <v>0.23078006532131412</v>
      </c>
      <c r="E98" s="132">
        <f>OPEX_Total_Anual*(1+K$7)</f>
        <v>-162000000</v>
      </c>
      <c r="F98" s="136">
        <f>CAPEX_Inicial_Total</f>
        <v>-739200000</v>
      </c>
      <c r="G98" s="205">
        <f>G91*K$7+G92</f>
        <v>179309599.7128267</v>
      </c>
      <c r="H98" s="205">
        <f>H91*K$7+H92</f>
        <v>179309599.7128267</v>
      </c>
      <c r="I98" s="205">
        <f>I91*K$7+I92</f>
        <v>179309599.7128267</v>
      </c>
      <c r="J98" s="205">
        <f>J91*K$7+J92</f>
        <v>179309599.7128267</v>
      </c>
      <c r="K98" s="205">
        <f>K91*K$7+K92</f>
        <v>179309599.7128267</v>
      </c>
      <c r="L98" s="203">
        <f>L91*K$7+L92</f>
        <v>179309599.7128267</v>
      </c>
      <c r="M98" s="132">
        <f>M91*K$7+M92</f>
        <v>179309599.7128267</v>
      </c>
      <c r="N98" s="132">
        <f>N91*K$7+N92</f>
        <v>179309599.7128267</v>
      </c>
      <c r="O98" s="132">
        <f>O91*K$7+O92</f>
        <v>179309599.7128267</v>
      </c>
      <c r="P98" s="132">
        <f>P91*K$7+P92</f>
        <v>179309599.7128267</v>
      </c>
      <c r="Q98" s="132">
        <f>Q91*K$7+Q92</f>
        <v>179309599.7128267</v>
      </c>
      <c r="R98" s="132">
        <f>R91*K$7+R92</f>
        <v>179309599.7128267</v>
      </c>
      <c r="S98" s="132">
        <f>S91*K$7+S92</f>
        <v>179309599.7128267</v>
      </c>
      <c r="T98" s="132">
        <f>T91*K$7+T92</f>
        <v>179309599.7128267</v>
      </c>
      <c r="U98" s="132">
        <f>U91*K$7+U92</f>
        <v>105389599.7128267</v>
      </c>
      <c r="Y98" s="109"/>
      <c r="Z98" s="109"/>
      <c r="AA98" s="109"/>
      <c r="AB98" s="109"/>
      <c r="AC98" s="109"/>
      <c r="AD98" s="109"/>
      <c r="AE98" s="109"/>
      <c r="AF98" s="109"/>
    </row>
    <row r="99" spans="1:32" ht="27" customHeight="1" x14ac:dyDescent="0.25">
      <c r="A99" s="109"/>
      <c r="B99" s="108"/>
      <c r="C99" s="109"/>
      <c r="D99" s="109"/>
      <c r="E99" s="109"/>
      <c r="F99" s="109"/>
      <c r="G99" s="206"/>
      <c r="H99" s="206"/>
      <c r="I99" s="206"/>
      <c r="J99" s="206"/>
      <c r="K99" s="206"/>
      <c r="L99" s="207"/>
      <c r="M99" s="208"/>
      <c r="N99" s="109"/>
      <c r="O99" s="109"/>
      <c r="P99" s="109"/>
      <c r="Q99" s="109"/>
      <c r="R99" s="109"/>
      <c r="S99" s="109"/>
      <c r="T99" s="109"/>
      <c r="U99" s="109"/>
      <c r="Y99" s="109"/>
      <c r="Z99" s="109"/>
      <c r="AA99" s="109"/>
      <c r="AB99" s="109"/>
      <c r="AC99" s="109"/>
      <c r="AD99" s="109"/>
      <c r="AE99" s="109"/>
      <c r="AF99" s="109"/>
    </row>
    <row r="100" spans="1:32" ht="13.5" customHeight="1" x14ac:dyDescent="0.25">
      <c r="A100" s="109"/>
      <c r="B100" s="108"/>
      <c r="C100" s="109"/>
      <c r="D100" s="109"/>
      <c r="E100" s="109"/>
      <c r="F100" s="109"/>
      <c r="G100" s="206"/>
      <c r="H100" s="206"/>
      <c r="I100" s="206"/>
      <c r="J100" s="206"/>
      <c r="K100" s="206"/>
      <c r="L100" s="207"/>
      <c r="M100" s="208"/>
      <c r="N100" s="109"/>
      <c r="O100" s="109"/>
      <c r="P100" s="109"/>
      <c r="Q100" s="109"/>
      <c r="R100" s="109"/>
      <c r="S100" s="109"/>
      <c r="T100" s="109"/>
      <c r="U100" s="109"/>
      <c r="Y100" s="109"/>
      <c r="Z100" s="109"/>
      <c r="AA100" s="109"/>
      <c r="AB100" s="109"/>
      <c r="AC100" s="109"/>
      <c r="AD100" s="109"/>
      <c r="AE100" s="109"/>
      <c r="AF100" s="109"/>
    </row>
    <row r="101" spans="1:32" ht="27" customHeight="1" x14ac:dyDescent="0.25">
      <c r="A101" s="109"/>
      <c r="B101" s="108"/>
      <c r="C101" s="109"/>
      <c r="D101" s="109"/>
      <c r="E101" s="109"/>
      <c r="F101" s="109"/>
      <c r="G101" s="206"/>
      <c r="H101" s="206"/>
      <c r="I101" s="206"/>
      <c r="J101" s="206"/>
      <c r="K101" s="206"/>
      <c r="L101" s="207"/>
      <c r="M101" s="208"/>
      <c r="N101" s="109"/>
      <c r="O101" s="109"/>
      <c r="P101" s="109"/>
      <c r="Q101" s="109"/>
      <c r="R101" s="109"/>
      <c r="S101" s="109"/>
      <c r="T101" s="109"/>
      <c r="U101" s="109"/>
      <c r="Y101" s="109"/>
      <c r="Z101" s="109"/>
      <c r="AA101" s="109"/>
      <c r="AB101" s="109"/>
      <c r="AC101" s="109"/>
      <c r="AD101" s="109"/>
      <c r="AE101" s="109"/>
      <c r="AF101" s="109"/>
    </row>
    <row r="102" spans="1:32" ht="27" customHeight="1" x14ac:dyDescent="0.25">
      <c r="A102" s="109"/>
      <c r="B102" s="108"/>
      <c r="C102" s="109"/>
      <c r="D102" s="109"/>
      <c r="E102" s="109"/>
      <c r="F102" s="109"/>
      <c r="G102" s="206"/>
      <c r="H102" s="206"/>
      <c r="I102" s="206"/>
      <c r="J102" s="206"/>
      <c r="K102" s="206"/>
      <c r="L102" s="207"/>
      <c r="M102" s="208"/>
      <c r="N102" s="109"/>
      <c r="O102" s="109"/>
      <c r="P102" s="109"/>
      <c r="Q102" s="109"/>
      <c r="R102" s="109"/>
      <c r="S102" s="109"/>
      <c r="T102" s="109"/>
      <c r="U102" s="109"/>
      <c r="Y102" s="109"/>
      <c r="Z102" s="109"/>
      <c r="AA102" s="109"/>
      <c r="AB102" s="109"/>
      <c r="AC102" s="109"/>
      <c r="AD102" s="109"/>
      <c r="AE102" s="109"/>
      <c r="AF102" s="109"/>
    </row>
    <row r="103" spans="1:32" ht="27" customHeight="1" x14ac:dyDescent="0.25">
      <c r="A103" s="109"/>
      <c r="B103" s="108"/>
      <c r="C103" s="109"/>
      <c r="D103" s="109"/>
      <c r="E103" s="109"/>
      <c r="F103" s="109"/>
      <c r="G103" s="206"/>
      <c r="H103" s="206"/>
      <c r="I103" s="206"/>
      <c r="J103" s="206"/>
      <c r="K103" s="206"/>
      <c r="L103" s="207"/>
      <c r="M103" s="208"/>
      <c r="N103" s="109"/>
      <c r="O103" s="109"/>
      <c r="P103" s="109"/>
      <c r="Q103" s="109"/>
      <c r="R103" s="109"/>
      <c r="S103" s="109"/>
      <c r="T103" s="109"/>
      <c r="U103" s="109"/>
      <c r="Y103" s="109"/>
      <c r="Z103" s="109"/>
      <c r="AA103" s="109"/>
      <c r="AB103" s="109"/>
      <c r="AC103" s="109"/>
      <c r="AD103" s="109"/>
      <c r="AE103" s="109"/>
      <c r="AF103" s="109"/>
    </row>
    <row r="104" spans="1:32" ht="13.5" customHeight="1" x14ac:dyDescent="0.25">
      <c r="A104" s="109"/>
      <c r="B104" s="108"/>
      <c r="C104" s="109"/>
      <c r="D104" s="109"/>
      <c r="E104" s="109"/>
      <c r="F104" s="109"/>
      <c r="G104" s="206"/>
      <c r="H104" s="206"/>
      <c r="I104" s="206"/>
      <c r="J104" s="206"/>
      <c r="K104" s="206"/>
      <c r="L104" s="207"/>
      <c r="M104" s="208"/>
      <c r="N104" s="109"/>
      <c r="O104" s="109"/>
      <c r="P104" s="109"/>
      <c r="Q104" s="109"/>
      <c r="R104" s="109"/>
      <c r="S104" s="109"/>
      <c r="T104" s="109"/>
      <c r="U104" s="109"/>
      <c r="Y104" s="109"/>
      <c r="Z104" s="109"/>
      <c r="AA104" s="109"/>
      <c r="AB104" s="109"/>
      <c r="AC104" s="109"/>
      <c r="AD104" s="109"/>
      <c r="AE104" s="109"/>
      <c r="AF104" s="109"/>
    </row>
    <row r="105" spans="1:32" ht="27" customHeight="1" x14ac:dyDescent="0.25">
      <c r="A105" s="109"/>
      <c r="B105" s="108"/>
      <c r="C105" s="109"/>
      <c r="D105" s="109"/>
      <c r="E105" s="109"/>
      <c r="F105" s="109"/>
      <c r="G105" s="206"/>
      <c r="H105" s="206"/>
      <c r="I105" s="206"/>
      <c r="J105" s="206"/>
      <c r="K105" s="206"/>
      <c r="L105" s="207"/>
      <c r="M105" s="208"/>
      <c r="N105" s="109"/>
      <c r="O105" s="109"/>
      <c r="P105" s="109"/>
      <c r="Q105" s="109"/>
      <c r="R105" s="109"/>
      <c r="S105" s="109"/>
      <c r="T105" s="109"/>
      <c r="U105" s="109"/>
      <c r="Y105" s="109"/>
      <c r="Z105" s="109"/>
      <c r="AA105" s="109"/>
      <c r="AB105" s="109"/>
      <c r="AC105" s="109"/>
      <c r="AD105" s="109"/>
      <c r="AE105" s="109"/>
      <c r="AF105" s="109"/>
    </row>
    <row r="106" spans="1:32" ht="40.5" customHeight="1" x14ac:dyDescent="0.25">
      <c r="A106" s="109"/>
      <c r="B106" s="108"/>
      <c r="C106" s="109"/>
      <c r="D106" s="109"/>
      <c r="E106" s="109"/>
      <c r="F106" s="109"/>
      <c r="G106" s="214"/>
      <c r="H106" s="214"/>
      <c r="I106" s="214"/>
      <c r="J106" s="214"/>
      <c r="K106" s="214"/>
      <c r="L106" s="207"/>
      <c r="M106" s="208"/>
      <c r="N106" s="109"/>
      <c r="O106" s="109"/>
      <c r="P106" s="109"/>
      <c r="Q106" s="109"/>
      <c r="R106" s="109"/>
      <c r="S106" s="109"/>
      <c r="T106" s="109"/>
      <c r="U106" s="109"/>
      <c r="Y106" s="109"/>
      <c r="Z106" s="109"/>
      <c r="AA106" s="109"/>
      <c r="AB106" s="109"/>
      <c r="AC106" s="109"/>
      <c r="AD106" s="109"/>
      <c r="AE106" s="109"/>
      <c r="AF106" s="109"/>
    </row>
    <row r="107" spans="1:32" ht="27" customHeight="1" x14ac:dyDescent="0.25">
      <c r="A107" s="109"/>
      <c r="B107" s="108"/>
      <c r="C107" s="109"/>
      <c r="D107" s="109"/>
      <c r="E107" s="109"/>
      <c r="F107" s="109"/>
      <c r="G107" s="208"/>
      <c r="H107" s="208"/>
      <c r="I107" s="208"/>
      <c r="J107" s="208"/>
      <c r="K107" s="208"/>
      <c r="L107" s="207"/>
      <c r="M107" s="208"/>
      <c r="N107" s="109"/>
      <c r="O107" s="109"/>
      <c r="P107" s="109"/>
      <c r="Q107" s="109"/>
      <c r="R107" s="109"/>
      <c r="S107" s="109"/>
      <c r="T107" s="109"/>
      <c r="U107" s="109"/>
      <c r="Y107" s="109"/>
      <c r="Z107" s="109"/>
      <c r="AA107" s="109"/>
      <c r="AB107" s="109"/>
      <c r="AC107" s="109"/>
      <c r="AD107" s="109"/>
      <c r="AE107" s="109"/>
      <c r="AF107" s="109"/>
    </row>
    <row r="108" spans="1:32" ht="13.5" customHeight="1" x14ac:dyDescent="0.25">
      <c r="A108" s="109"/>
      <c r="B108" s="108"/>
      <c r="C108" s="109"/>
      <c r="D108" s="109"/>
      <c r="E108" s="109"/>
      <c r="F108" s="109"/>
      <c r="G108" s="208"/>
      <c r="H108" s="208"/>
      <c r="I108" s="208"/>
      <c r="J108" s="208"/>
      <c r="K108" s="208"/>
      <c r="L108" s="207"/>
      <c r="M108" s="208"/>
      <c r="N108" s="109"/>
      <c r="O108" s="109"/>
      <c r="P108" s="109"/>
      <c r="Q108" s="109"/>
      <c r="R108" s="109"/>
      <c r="S108" s="109"/>
      <c r="T108" s="109"/>
      <c r="U108" s="109"/>
      <c r="Y108" s="109"/>
      <c r="Z108" s="109"/>
      <c r="AA108" s="109"/>
      <c r="AB108" s="109"/>
      <c r="AC108" s="109"/>
      <c r="AD108" s="109"/>
      <c r="AE108" s="109"/>
      <c r="AF108" s="109"/>
    </row>
    <row r="109" spans="1:32" ht="13.5" customHeight="1" x14ac:dyDescent="0.25">
      <c r="A109" s="109"/>
      <c r="B109" s="109"/>
      <c r="C109" s="109"/>
      <c r="D109" s="109"/>
      <c r="E109" s="109"/>
      <c r="F109" s="109"/>
      <c r="G109" s="208"/>
      <c r="H109" s="208"/>
      <c r="I109" s="208"/>
      <c r="J109" s="208"/>
      <c r="K109" s="208"/>
      <c r="L109" s="208"/>
      <c r="M109" s="208"/>
      <c r="N109" s="109"/>
      <c r="O109" s="109"/>
      <c r="P109" s="109"/>
      <c r="Q109" s="109"/>
      <c r="R109" s="109"/>
      <c r="S109" s="109"/>
      <c r="T109" s="109"/>
      <c r="U109" s="109"/>
      <c r="Y109" s="109"/>
      <c r="Z109" s="109"/>
      <c r="AA109" s="109"/>
      <c r="AB109" s="109"/>
      <c r="AC109" s="109"/>
      <c r="AD109" s="109"/>
      <c r="AE109" s="109"/>
      <c r="AF109" s="109"/>
    </row>
    <row r="110" spans="1:32" ht="13.5" customHeight="1" x14ac:dyDescent="0.25">
      <c r="A110" s="109"/>
      <c r="B110" s="108"/>
      <c r="C110" s="109"/>
      <c r="D110" s="109"/>
      <c r="E110" s="109"/>
      <c r="F110" s="109"/>
      <c r="G110" s="208"/>
      <c r="H110" s="208"/>
      <c r="I110" s="208"/>
      <c r="J110" s="208"/>
      <c r="K110" s="208"/>
      <c r="L110" s="208"/>
      <c r="M110" s="208"/>
      <c r="N110" s="109"/>
      <c r="O110" s="109"/>
      <c r="P110" s="109"/>
      <c r="Q110" s="109"/>
      <c r="R110" s="109"/>
      <c r="S110" s="109"/>
      <c r="T110" s="109"/>
      <c r="U110" s="109"/>
      <c r="Y110" s="109"/>
      <c r="Z110" s="109"/>
      <c r="AA110" s="109"/>
      <c r="AB110" s="109"/>
      <c r="AC110" s="109"/>
      <c r="AD110" s="109"/>
      <c r="AE110" s="109"/>
      <c r="AF110" s="109"/>
    </row>
    <row r="111" spans="1:32" ht="13.5" customHeight="1" x14ac:dyDescent="0.25">
      <c r="A111" s="109"/>
      <c r="B111" s="108"/>
      <c r="C111" s="109"/>
      <c r="D111" s="109"/>
      <c r="E111" s="109"/>
      <c r="F111" s="109"/>
      <c r="G111" s="215"/>
      <c r="H111" s="215"/>
      <c r="I111" s="215"/>
      <c r="J111" s="216"/>
      <c r="K111" s="216"/>
      <c r="L111" s="208"/>
      <c r="M111" s="208"/>
      <c r="N111" s="109"/>
      <c r="O111" s="109"/>
      <c r="P111" s="109"/>
      <c r="Q111" s="109"/>
      <c r="R111" s="109"/>
      <c r="S111" s="109"/>
      <c r="T111" s="109"/>
      <c r="U111" s="109"/>
      <c r="Y111" s="109"/>
      <c r="Z111" s="109"/>
      <c r="AA111" s="109"/>
      <c r="AB111" s="109"/>
      <c r="AC111" s="109"/>
      <c r="AD111" s="109"/>
      <c r="AE111" s="109"/>
      <c r="AF111" s="109"/>
    </row>
    <row r="112" spans="1:32" ht="40.5" customHeight="1" x14ac:dyDescent="0.25">
      <c r="A112" s="109"/>
      <c r="B112" s="108"/>
      <c r="C112" s="109"/>
      <c r="D112" s="109"/>
      <c r="E112" s="109"/>
      <c r="F112" s="109"/>
      <c r="G112" s="208"/>
      <c r="H112" s="208"/>
      <c r="I112" s="208"/>
      <c r="J112" s="208"/>
      <c r="K112" s="208"/>
      <c r="L112" s="108"/>
      <c r="M112" s="109"/>
      <c r="N112" s="109"/>
      <c r="O112" s="109"/>
      <c r="P112" s="109"/>
      <c r="Q112" s="109"/>
      <c r="R112" s="109"/>
      <c r="S112" s="109"/>
      <c r="T112" s="109"/>
      <c r="U112" s="109"/>
      <c r="Y112" s="109"/>
      <c r="Z112" s="109"/>
      <c r="AA112" s="109"/>
      <c r="AB112" s="109"/>
      <c r="AC112" s="109"/>
      <c r="AD112" s="109"/>
      <c r="AE112" s="109"/>
      <c r="AF112" s="109"/>
    </row>
    <row r="113" spans="1:32" ht="27" customHeight="1" x14ac:dyDescent="0.25">
      <c r="A113" s="109"/>
      <c r="B113" s="108"/>
      <c r="C113" s="109"/>
      <c r="D113" s="109"/>
      <c r="E113" s="109"/>
      <c r="F113" s="109"/>
      <c r="G113" s="212"/>
      <c r="H113" s="212"/>
      <c r="I113" s="212"/>
      <c r="J113" s="212"/>
      <c r="K113" s="212"/>
      <c r="L113" s="108"/>
      <c r="M113" s="109"/>
      <c r="N113" s="109"/>
      <c r="O113" s="109"/>
      <c r="P113" s="109"/>
      <c r="Q113" s="109"/>
      <c r="R113" s="109"/>
      <c r="S113" s="109"/>
      <c r="T113" s="109"/>
      <c r="U113" s="109"/>
      <c r="Y113" s="109"/>
      <c r="Z113" s="109"/>
      <c r="AA113" s="109"/>
      <c r="AB113" s="109"/>
      <c r="AC113" s="109"/>
      <c r="AD113" s="109"/>
      <c r="AE113" s="109"/>
      <c r="AF113" s="109"/>
    </row>
    <row r="114" spans="1:32" ht="27" customHeight="1" x14ac:dyDescent="0.25">
      <c r="A114" s="109"/>
      <c r="B114" s="108"/>
      <c r="C114" s="109"/>
      <c r="D114" s="109"/>
      <c r="E114" s="109"/>
      <c r="F114" s="109"/>
      <c r="G114" s="217"/>
      <c r="H114" s="217"/>
      <c r="I114" s="217"/>
      <c r="J114" s="217"/>
      <c r="K114" s="217"/>
      <c r="L114" s="108"/>
      <c r="M114" s="109"/>
      <c r="N114" s="109"/>
      <c r="O114" s="109"/>
      <c r="P114" s="109"/>
      <c r="Q114" s="109"/>
      <c r="R114" s="109"/>
      <c r="S114" s="109"/>
      <c r="T114" s="109"/>
      <c r="U114" s="109"/>
      <c r="Y114" s="109"/>
      <c r="Z114" s="109"/>
      <c r="AA114" s="109"/>
      <c r="AB114" s="109"/>
      <c r="AC114" s="109"/>
      <c r="AD114" s="109"/>
      <c r="AE114" s="109"/>
      <c r="AF114" s="109"/>
    </row>
    <row r="115" spans="1:32" ht="27" customHeight="1" x14ac:dyDescent="0.25">
      <c r="A115" s="109"/>
      <c r="B115" s="108"/>
      <c r="C115" s="109"/>
      <c r="D115" s="109"/>
      <c r="E115" s="109"/>
      <c r="F115" s="109"/>
      <c r="G115" s="109"/>
      <c r="H115" s="109"/>
      <c r="I115" s="109"/>
      <c r="J115" s="109"/>
      <c r="K115" s="109"/>
      <c r="L115" s="109"/>
      <c r="M115" s="109"/>
      <c r="N115" s="109"/>
      <c r="O115" s="109"/>
      <c r="P115" s="109"/>
      <c r="Q115" s="109"/>
      <c r="R115" s="109"/>
      <c r="S115" s="109"/>
      <c r="T115" s="109"/>
      <c r="U115" s="109"/>
      <c r="Y115" s="109"/>
      <c r="Z115" s="109"/>
      <c r="AA115" s="109"/>
      <c r="AB115" s="109"/>
      <c r="AC115" s="109"/>
      <c r="AD115" s="109"/>
      <c r="AE115" s="109"/>
      <c r="AF115" s="109"/>
    </row>
    <row r="116" spans="1:32" ht="27.75" customHeight="1" x14ac:dyDescent="0.25">
      <c r="A116" s="109"/>
      <c r="B116" s="108"/>
      <c r="C116" s="109"/>
      <c r="D116" s="109"/>
      <c r="E116" s="109"/>
      <c r="F116" s="109"/>
      <c r="G116" s="109"/>
      <c r="H116" s="109"/>
      <c r="I116" s="109"/>
      <c r="J116" s="109"/>
      <c r="K116" s="109"/>
      <c r="L116" s="109"/>
      <c r="M116" s="109"/>
      <c r="N116" s="109"/>
      <c r="O116" s="109"/>
      <c r="P116" s="109"/>
      <c r="Q116" s="109"/>
      <c r="R116" s="109"/>
      <c r="S116" s="109"/>
      <c r="T116" s="109"/>
      <c r="U116" s="109"/>
      <c r="Y116" s="109"/>
      <c r="Z116" s="109"/>
      <c r="AA116" s="109"/>
      <c r="AB116" s="109"/>
      <c r="AC116" s="109"/>
      <c r="AD116" s="109"/>
      <c r="AE116" s="109"/>
      <c r="AF116" s="109"/>
    </row>
    <row r="117" spans="1:32" ht="27" customHeight="1" x14ac:dyDescent="0.25">
      <c r="A117" s="109"/>
      <c r="B117" s="108"/>
      <c r="C117" s="109"/>
      <c r="D117" s="109"/>
      <c r="E117" s="109"/>
      <c r="F117" s="109"/>
      <c r="G117" s="218"/>
      <c r="H117" s="218"/>
      <c r="I117" s="218"/>
      <c r="J117" s="218"/>
      <c r="K117" s="218"/>
      <c r="L117" s="108"/>
      <c r="M117" s="109"/>
      <c r="N117" s="109"/>
      <c r="O117" s="109"/>
      <c r="P117" s="109"/>
      <c r="Q117" s="109"/>
      <c r="R117" s="109"/>
      <c r="S117" s="109"/>
      <c r="T117" s="109"/>
      <c r="U117" s="109"/>
      <c r="Y117" s="109"/>
      <c r="Z117" s="109"/>
      <c r="AA117" s="109"/>
      <c r="AB117" s="109"/>
      <c r="AC117" s="109"/>
      <c r="AD117" s="109"/>
      <c r="AE117" s="109"/>
      <c r="AF117" s="109"/>
    </row>
    <row r="118" spans="1:32" ht="27" customHeight="1" x14ac:dyDescent="0.25">
      <c r="A118" s="109"/>
      <c r="B118" s="108"/>
      <c r="C118" s="109"/>
      <c r="D118" s="109"/>
      <c r="E118" s="109"/>
      <c r="F118" s="109"/>
      <c r="G118" s="208"/>
      <c r="H118" s="208"/>
      <c r="I118" s="208"/>
      <c r="J118" s="208"/>
      <c r="K118" s="208"/>
      <c r="L118" s="108"/>
      <c r="M118" s="109"/>
      <c r="N118" s="109"/>
      <c r="O118" s="109"/>
      <c r="P118" s="109"/>
      <c r="Q118" s="109"/>
      <c r="R118" s="109"/>
      <c r="S118" s="109"/>
      <c r="T118" s="109"/>
      <c r="U118" s="109"/>
      <c r="Y118" s="109"/>
      <c r="Z118" s="109"/>
      <c r="AA118" s="109"/>
      <c r="AB118" s="109"/>
      <c r="AC118" s="109"/>
      <c r="AD118" s="109"/>
      <c r="AE118" s="109"/>
      <c r="AF118" s="109"/>
    </row>
    <row r="119" spans="1:32" ht="27" customHeight="1" x14ac:dyDescent="0.25">
      <c r="A119" s="109"/>
      <c r="B119" s="108"/>
      <c r="C119" s="109"/>
      <c r="D119" s="109"/>
      <c r="E119" s="109"/>
      <c r="F119" s="109"/>
      <c r="G119" s="109"/>
      <c r="H119" s="109"/>
      <c r="I119" s="109"/>
      <c r="J119" s="109"/>
      <c r="K119" s="109"/>
      <c r="L119" s="109"/>
      <c r="M119" s="109"/>
      <c r="N119" s="109"/>
      <c r="O119" s="109"/>
      <c r="P119" s="109"/>
      <c r="Q119" s="109"/>
      <c r="R119" s="109"/>
      <c r="S119" s="109"/>
      <c r="T119" s="109"/>
      <c r="U119" s="109"/>
      <c r="Y119" s="109"/>
      <c r="Z119" s="109"/>
      <c r="AA119" s="109"/>
      <c r="AB119" s="109"/>
      <c r="AC119" s="109"/>
      <c r="AD119" s="109"/>
      <c r="AE119" s="109"/>
      <c r="AF119" s="109"/>
    </row>
    <row r="120" spans="1:32" ht="27" customHeight="1" x14ac:dyDescent="0.25">
      <c r="A120" s="109"/>
      <c r="B120" s="108"/>
      <c r="C120" s="109"/>
      <c r="D120" s="109"/>
      <c r="E120" s="109"/>
      <c r="F120" s="109"/>
      <c r="G120" s="216"/>
      <c r="H120" s="216"/>
      <c r="I120" s="216"/>
      <c r="J120" s="216"/>
      <c r="K120" s="216"/>
      <c r="L120" s="108"/>
      <c r="M120" s="109"/>
      <c r="N120" s="109"/>
      <c r="O120" s="109"/>
      <c r="P120" s="109"/>
      <c r="Q120" s="109"/>
      <c r="R120" s="109"/>
      <c r="S120" s="109"/>
      <c r="T120" s="109"/>
      <c r="U120" s="109"/>
      <c r="Y120" s="109"/>
      <c r="Z120" s="109"/>
      <c r="AA120" s="109"/>
      <c r="AB120" s="109"/>
      <c r="AC120" s="109"/>
      <c r="AD120" s="109"/>
      <c r="AE120" s="109"/>
      <c r="AF120" s="109"/>
    </row>
    <row r="121" spans="1:32" ht="23.25" customHeight="1" x14ac:dyDescent="0.25">
      <c r="A121" s="109"/>
      <c r="B121" s="108"/>
      <c r="C121" s="109"/>
      <c r="D121" s="109"/>
      <c r="E121" s="109"/>
      <c r="F121" s="109"/>
      <c r="G121" s="206"/>
      <c r="H121" s="206"/>
      <c r="I121" s="206"/>
      <c r="J121" s="206"/>
      <c r="K121" s="206"/>
      <c r="L121" s="108"/>
      <c r="M121" s="109"/>
      <c r="N121" s="109"/>
      <c r="O121" s="109"/>
      <c r="P121" s="109"/>
      <c r="Q121" s="109"/>
      <c r="R121" s="109"/>
      <c r="S121" s="109"/>
      <c r="T121" s="109"/>
      <c r="U121" s="109"/>
      <c r="Y121" s="109"/>
      <c r="Z121" s="109"/>
      <c r="AA121" s="109"/>
      <c r="AB121" s="109"/>
      <c r="AC121" s="109"/>
      <c r="AD121" s="109"/>
      <c r="AE121" s="109"/>
      <c r="AF121" s="109"/>
    </row>
    <row r="122" spans="1:32" ht="27" customHeight="1" x14ac:dyDescent="0.25">
      <c r="A122" s="109"/>
      <c r="B122" s="108"/>
      <c r="C122" s="109"/>
      <c r="D122" s="109"/>
      <c r="E122" s="109"/>
      <c r="F122" s="109"/>
      <c r="G122" s="206"/>
      <c r="H122" s="206"/>
      <c r="I122" s="206"/>
      <c r="J122" s="206"/>
      <c r="K122" s="206"/>
      <c r="L122" s="207"/>
      <c r="M122" s="208"/>
      <c r="N122" s="109"/>
      <c r="O122" s="109"/>
      <c r="P122" s="109"/>
      <c r="Q122" s="109"/>
      <c r="R122" s="109"/>
      <c r="S122" s="109"/>
      <c r="T122" s="109"/>
      <c r="U122" s="109"/>
      <c r="Y122" s="109"/>
      <c r="Z122" s="109"/>
      <c r="AA122" s="109"/>
      <c r="AB122" s="109"/>
      <c r="AC122" s="109"/>
      <c r="AD122" s="109"/>
      <c r="AE122" s="109"/>
      <c r="AF122" s="109"/>
    </row>
    <row r="123" spans="1:32" ht="13.5" customHeight="1" x14ac:dyDescent="0.25">
      <c r="A123" s="109"/>
      <c r="B123" s="108"/>
      <c r="C123" s="109"/>
      <c r="D123" s="109"/>
      <c r="E123" s="109"/>
      <c r="F123" s="109"/>
      <c r="G123" s="206"/>
      <c r="H123" s="206"/>
      <c r="I123" s="206"/>
      <c r="J123" s="206"/>
      <c r="K123" s="206"/>
      <c r="L123" s="207"/>
      <c r="M123" s="208"/>
      <c r="N123" s="109"/>
      <c r="O123" s="109"/>
      <c r="P123" s="109"/>
      <c r="Q123" s="109"/>
      <c r="R123" s="109"/>
      <c r="S123" s="109"/>
      <c r="T123" s="109"/>
      <c r="U123" s="109"/>
      <c r="Y123" s="109"/>
      <c r="Z123" s="109"/>
      <c r="AA123" s="109"/>
      <c r="AB123" s="109"/>
      <c r="AC123" s="109"/>
      <c r="AD123" s="109"/>
      <c r="AE123" s="109"/>
      <c r="AF123" s="109"/>
    </row>
    <row r="124" spans="1:32" ht="40.5" customHeight="1" x14ac:dyDescent="0.25">
      <c r="A124" s="109"/>
      <c r="B124" s="108"/>
      <c r="C124" s="109"/>
      <c r="D124" s="109"/>
      <c r="E124" s="109"/>
      <c r="F124" s="109"/>
      <c r="G124" s="206"/>
      <c r="H124" s="206"/>
      <c r="I124" s="206"/>
      <c r="J124" s="206"/>
      <c r="K124" s="206"/>
      <c r="L124" s="207"/>
      <c r="M124" s="208"/>
      <c r="N124" s="109"/>
      <c r="O124" s="109"/>
      <c r="P124" s="109"/>
      <c r="Q124" s="109"/>
      <c r="R124" s="109"/>
      <c r="S124" s="109"/>
      <c r="T124" s="109"/>
      <c r="U124" s="109"/>
      <c r="Y124" s="109"/>
      <c r="Z124" s="109"/>
      <c r="AA124" s="109"/>
      <c r="AB124" s="109"/>
      <c r="AC124" s="109"/>
      <c r="AD124" s="109"/>
      <c r="AE124" s="109"/>
      <c r="AF124" s="109"/>
    </row>
    <row r="125" spans="1:32" ht="27" customHeight="1" x14ac:dyDescent="0.25">
      <c r="A125" s="109"/>
      <c r="B125" s="108"/>
      <c r="C125" s="109"/>
      <c r="D125" s="109"/>
      <c r="E125" s="109"/>
      <c r="F125" s="109"/>
      <c r="G125" s="206"/>
      <c r="H125" s="206"/>
      <c r="I125" s="206"/>
      <c r="J125" s="206"/>
      <c r="K125" s="206"/>
      <c r="L125" s="207"/>
      <c r="M125" s="208"/>
      <c r="N125" s="109"/>
      <c r="O125" s="109"/>
      <c r="P125" s="109"/>
      <c r="Q125" s="109"/>
      <c r="R125" s="109"/>
      <c r="S125" s="109"/>
      <c r="T125" s="109"/>
      <c r="U125" s="109"/>
      <c r="Y125" s="109"/>
      <c r="Z125" s="109"/>
      <c r="AA125" s="109"/>
      <c r="AB125" s="109"/>
      <c r="AC125" s="109"/>
      <c r="AD125" s="109"/>
      <c r="AE125" s="109"/>
      <c r="AF125" s="109"/>
    </row>
    <row r="126" spans="1:32" ht="27" customHeight="1" x14ac:dyDescent="0.25">
      <c r="A126" s="109"/>
      <c r="B126" s="108"/>
      <c r="C126" s="109"/>
      <c r="D126" s="109"/>
      <c r="E126" s="109"/>
      <c r="F126" s="109"/>
      <c r="G126" s="206"/>
      <c r="H126" s="206"/>
      <c r="I126" s="206"/>
      <c r="J126" s="206"/>
      <c r="K126" s="206"/>
      <c r="L126" s="207"/>
      <c r="M126" s="208"/>
      <c r="N126" s="109"/>
      <c r="O126" s="109"/>
      <c r="P126" s="109"/>
      <c r="Q126" s="109"/>
      <c r="R126" s="109"/>
      <c r="S126" s="109"/>
      <c r="T126" s="109"/>
      <c r="U126" s="109"/>
      <c r="Y126" s="109"/>
      <c r="Z126" s="109"/>
      <c r="AA126" s="109"/>
      <c r="AB126" s="109"/>
      <c r="AC126" s="109"/>
      <c r="AD126" s="109"/>
      <c r="AE126" s="109"/>
      <c r="AF126" s="109"/>
    </row>
    <row r="127" spans="1:32" ht="13.5" customHeight="1" x14ac:dyDescent="0.25">
      <c r="A127" s="109"/>
      <c r="B127" s="108"/>
      <c r="C127" s="109"/>
      <c r="D127" s="109"/>
      <c r="E127" s="109"/>
      <c r="F127" s="109"/>
      <c r="G127" s="206"/>
      <c r="H127" s="206"/>
      <c r="I127" s="206"/>
      <c r="J127" s="206"/>
      <c r="K127" s="206"/>
      <c r="L127" s="207"/>
      <c r="M127" s="208"/>
      <c r="N127" s="109"/>
      <c r="O127" s="109"/>
      <c r="P127" s="109"/>
      <c r="Q127" s="109"/>
      <c r="R127" s="109"/>
      <c r="S127" s="109"/>
      <c r="T127" s="109"/>
      <c r="U127" s="109"/>
      <c r="Y127" s="109"/>
      <c r="Z127" s="109"/>
      <c r="AA127" s="109"/>
      <c r="AB127" s="109"/>
      <c r="AC127" s="109"/>
      <c r="AD127" s="109"/>
      <c r="AE127" s="109"/>
      <c r="AF127" s="109"/>
    </row>
    <row r="128" spans="1:32" ht="27" customHeight="1" x14ac:dyDescent="0.25">
      <c r="A128" s="109"/>
      <c r="B128" s="108"/>
      <c r="C128" s="109"/>
      <c r="D128" s="109"/>
      <c r="E128" s="109"/>
      <c r="F128" s="109"/>
      <c r="G128" s="206"/>
      <c r="H128" s="206"/>
      <c r="I128" s="206"/>
      <c r="J128" s="206"/>
      <c r="K128" s="206"/>
      <c r="L128" s="207"/>
      <c r="M128" s="208"/>
      <c r="N128" s="109"/>
      <c r="O128" s="109"/>
      <c r="P128" s="109"/>
      <c r="Q128" s="109"/>
      <c r="R128" s="109"/>
      <c r="S128" s="109"/>
      <c r="T128" s="109"/>
      <c r="U128" s="109"/>
      <c r="Y128" s="109"/>
      <c r="Z128" s="109"/>
      <c r="AA128" s="109"/>
      <c r="AB128" s="109"/>
      <c r="AC128" s="109"/>
      <c r="AD128" s="109"/>
      <c r="AE128" s="109"/>
      <c r="AF128" s="109"/>
    </row>
    <row r="129" spans="1:32" ht="40.5" customHeight="1" x14ac:dyDescent="0.25">
      <c r="A129" s="109"/>
      <c r="B129" s="108"/>
      <c r="C129" s="109"/>
      <c r="D129" s="109"/>
      <c r="E129" s="109"/>
      <c r="F129" s="109"/>
      <c r="G129" s="214"/>
      <c r="H129" s="214"/>
      <c r="I129" s="214"/>
      <c r="J129" s="214"/>
      <c r="K129" s="214"/>
      <c r="L129" s="207"/>
      <c r="M129" s="208"/>
      <c r="N129" s="109"/>
      <c r="O129" s="109"/>
      <c r="P129" s="109"/>
      <c r="Q129" s="109"/>
      <c r="R129" s="109"/>
      <c r="S129" s="109"/>
      <c r="T129" s="109"/>
      <c r="U129" s="109"/>
      <c r="Y129" s="109"/>
      <c r="Z129" s="109"/>
      <c r="AA129" s="109"/>
      <c r="AB129" s="109"/>
      <c r="AC129" s="109"/>
      <c r="AD129" s="109"/>
      <c r="AE129" s="109"/>
      <c r="AF129" s="109"/>
    </row>
    <row r="130" spans="1:32" ht="27" customHeight="1" x14ac:dyDescent="0.25">
      <c r="A130" s="109"/>
      <c r="B130" s="108"/>
      <c r="C130" s="109"/>
      <c r="D130" s="109"/>
      <c r="E130" s="109"/>
      <c r="F130" s="109"/>
      <c r="G130" s="208"/>
      <c r="H130" s="208"/>
      <c r="I130" s="208"/>
      <c r="J130" s="208"/>
      <c r="K130" s="208"/>
      <c r="L130" s="207"/>
      <c r="M130" s="208"/>
      <c r="N130" s="109"/>
      <c r="O130" s="109"/>
      <c r="P130" s="109"/>
      <c r="Q130" s="109"/>
      <c r="R130" s="109"/>
      <c r="S130" s="109"/>
      <c r="T130" s="109"/>
      <c r="U130" s="109"/>
      <c r="Y130" s="109"/>
      <c r="Z130" s="109"/>
      <c r="AA130" s="109"/>
      <c r="AB130" s="109"/>
      <c r="AC130" s="109"/>
      <c r="AD130" s="109"/>
      <c r="AE130" s="109"/>
      <c r="AF130" s="109"/>
    </row>
    <row r="131" spans="1:32" ht="13.5" customHeight="1" x14ac:dyDescent="0.25">
      <c r="A131" s="109"/>
      <c r="B131" s="108"/>
      <c r="C131" s="109"/>
      <c r="D131" s="109"/>
      <c r="E131" s="109"/>
      <c r="F131" s="109"/>
      <c r="G131" s="208"/>
      <c r="H131" s="208"/>
      <c r="I131" s="208"/>
      <c r="J131" s="208"/>
      <c r="K131" s="208"/>
      <c r="L131" s="208"/>
      <c r="M131" s="208"/>
      <c r="N131" s="109"/>
      <c r="O131" s="109"/>
      <c r="P131" s="109"/>
      <c r="Q131" s="109"/>
      <c r="R131" s="109"/>
      <c r="S131" s="109"/>
      <c r="T131" s="109"/>
      <c r="U131" s="109"/>
      <c r="Y131" s="109"/>
      <c r="Z131" s="109"/>
      <c r="AA131" s="109"/>
      <c r="AB131" s="109"/>
      <c r="AC131" s="109"/>
      <c r="AD131" s="109"/>
      <c r="AE131" s="109"/>
      <c r="AF131" s="109"/>
    </row>
    <row r="132" spans="1:32" ht="13.5" customHeight="1" x14ac:dyDescent="0.25">
      <c r="A132" s="109"/>
      <c r="B132" s="109"/>
      <c r="C132" s="109"/>
      <c r="D132" s="109"/>
      <c r="E132" s="109"/>
      <c r="F132" s="109"/>
      <c r="G132" s="208"/>
      <c r="H132" s="208"/>
      <c r="I132" s="208"/>
      <c r="J132" s="208"/>
      <c r="K132" s="208"/>
      <c r="L132" s="208"/>
      <c r="M132" s="208"/>
      <c r="N132" s="109"/>
      <c r="O132" s="109"/>
      <c r="P132" s="109"/>
      <c r="Q132" s="109"/>
      <c r="R132" s="109"/>
      <c r="S132" s="109"/>
      <c r="T132" s="109"/>
      <c r="U132" s="109"/>
      <c r="Y132" s="109"/>
      <c r="Z132" s="109"/>
      <c r="AA132" s="109"/>
      <c r="AB132" s="109"/>
      <c r="AC132" s="109"/>
      <c r="AD132" s="109"/>
      <c r="AE132" s="109"/>
      <c r="AF132" s="109"/>
    </row>
    <row r="133" spans="1:32" ht="13.5" customHeight="1" x14ac:dyDescent="0.25">
      <c r="A133" s="109"/>
      <c r="B133" s="108"/>
      <c r="C133" s="109"/>
      <c r="D133" s="109"/>
      <c r="E133" s="109"/>
      <c r="F133" s="109"/>
      <c r="G133" s="208"/>
      <c r="H133" s="208"/>
      <c r="I133" s="208"/>
      <c r="J133" s="208"/>
      <c r="K133" s="208"/>
      <c r="L133" s="208"/>
      <c r="M133" s="208"/>
      <c r="N133" s="109"/>
      <c r="O133" s="109"/>
      <c r="P133" s="109"/>
      <c r="Q133" s="109"/>
      <c r="R133" s="109"/>
      <c r="S133" s="109"/>
      <c r="T133" s="109"/>
      <c r="U133" s="109"/>
      <c r="Y133" s="109"/>
      <c r="Z133" s="109"/>
      <c r="AA133" s="109"/>
      <c r="AB133" s="109"/>
      <c r="AC133" s="109"/>
      <c r="AD133" s="109"/>
      <c r="AE133" s="109"/>
      <c r="AF133" s="109"/>
    </row>
    <row r="134" spans="1:32" ht="13.5" customHeight="1" x14ac:dyDescent="0.25">
      <c r="A134" s="109"/>
      <c r="B134" s="108"/>
      <c r="C134" s="109"/>
      <c r="D134" s="109"/>
      <c r="E134" s="109"/>
      <c r="F134" s="109"/>
      <c r="G134" s="215"/>
      <c r="H134" s="215"/>
      <c r="I134" s="215"/>
      <c r="J134" s="216"/>
      <c r="K134" s="216"/>
      <c r="L134" s="208"/>
      <c r="M134" s="208"/>
      <c r="N134" s="109"/>
      <c r="O134" s="109"/>
      <c r="P134" s="109"/>
      <c r="Q134" s="109"/>
      <c r="R134" s="109"/>
      <c r="S134" s="109"/>
      <c r="T134" s="109"/>
      <c r="U134" s="109"/>
      <c r="Y134" s="109"/>
      <c r="Z134" s="109"/>
      <c r="AA134" s="109"/>
      <c r="AB134" s="109"/>
      <c r="AC134" s="109"/>
      <c r="AD134" s="109"/>
      <c r="AE134" s="109"/>
      <c r="AF134" s="109"/>
    </row>
    <row r="135" spans="1:32" ht="40.5" customHeight="1" x14ac:dyDescent="0.25">
      <c r="A135" s="109"/>
      <c r="B135" s="108"/>
      <c r="C135" s="109"/>
      <c r="D135" s="109"/>
      <c r="E135" s="109"/>
      <c r="F135" s="109"/>
      <c r="G135" s="208"/>
      <c r="H135" s="208"/>
      <c r="I135" s="208"/>
      <c r="J135" s="208"/>
      <c r="K135" s="208"/>
      <c r="L135" s="207"/>
      <c r="M135" s="208"/>
      <c r="N135" s="109"/>
      <c r="O135" s="109"/>
      <c r="P135" s="109"/>
      <c r="Q135" s="109"/>
      <c r="R135" s="109"/>
      <c r="S135" s="109"/>
      <c r="T135" s="109"/>
      <c r="U135" s="109"/>
      <c r="Y135" s="109"/>
      <c r="Z135" s="109"/>
      <c r="AA135" s="109"/>
      <c r="AB135" s="109"/>
      <c r="AC135" s="109"/>
      <c r="AD135" s="109"/>
      <c r="AE135" s="109"/>
      <c r="AF135" s="109"/>
    </row>
    <row r="136" spans="1:32" ht="27" customHeight="1" x14ac:dyDescent="0.25">
      <c r="A136" s="109"/>
      <c r="B136" s="108"/>
      <c r="C136" s="109"/>
      <c r="D136" s="109"/>
      <c r="E136" s="109"/>
      <c r="F136" s="109"/>
      <c r="G136" s="208"/>
      <c r="H136" s="208"/>
      <c r="I136" s="208"/>
      <c r="J136" s="208"/>
      <c r="K136" s="208"/>
      <c r="L136" s="207"/>
      <c r="M136" s="208"/>
      <c r="N136" s="109"/>
      <c r="O136" s="109"/>
      <c r="P136" s="109"/>
      <c r="Q136" s="109"/>
      <c r="R136" s="109"/>
      <c r="S136" s="109"/>
      <c r="T136" s="109"/>
      <c r="U136" s="109"/>
      <c r="Y136" s="109"/>
      <c r="Z136" s="109"/>
      <c r="AA136" s="109"/>
      <c r="AB136" s="109"/>
      <c r="AC136" s="109"/>
      <c r="AD136" s="109"/>
      <c r="AE136" s="109"/>
      <c r="AF136" s="109"/>
    </row>
    <row r="137" spans="1:32" ht="27" customHeight="1" x14ac:dyDescent="0.25">
      <c r="A137" s="109"/>
      <c r="B137" s="108"/>
      <c r="C137" s="109"/>
      <c r="D137" s="109"/>
      <c r="E137" s="109"/>
      <c r="F137" s="109"/>
      <c r="G137" s="208"/>
      <c r="H137" s="208"/>
      <c r="I137" s="208"/>
      <c r="J137" s="208"/>
      <c r="K137" s="208"/>
      <c r="L137" s="108"/>
      <c r="M137" s="109"/>
      <c r="N137" s="109"/>
      <c r="O137" s="109"/>
      <c r="P137" s="109"/>
      <c r="Q137" s="109"/>
      <c r="R137" s="109"/>
      <c r="S137" s="109"/>
      <c r="T137" s="109"/>
      <c r="U137" s="109"/>
      <c r="Y137" s="109"/>
      <c r="Z137" s="109"/>
      <c r="AA137" s="109"/>
      <c r="AB137" s="109"/>
      <c r="AC137" s="109"/>
      <c r="AD137" s="109"/>
      <c r="AE137" s="109"/>
      <c r="AF137" s="109"/>
    </row>
    <row r="138" spans="1:32" ht="27" customHeight="1" x14ac:dyDescent="0.25">
      <c r="A138" s="109"/>
      <c r="B138" s="108"/>
      <c r="C138" s="109"/>
      <c r="D138" s="109"/>
      <c r="E138" s="109"/>
      <c r="F138" s="109"/>
      <c r="G138" s="212"/>
      <c r="H138" s="212"/>
      <c r="I138" s="212"/>
      <c r="J138" s="212"/>
      <c r="K138" s="212"/>
      <c r="L138" s="108"/>
      <c r="M138" s="109"/>
      <c r="N138" s="109"/>
      <c r="O138" s="109"/>
      <c r="P138" s="109"/>
      <c r="Q138" s="109"/>
      <c r="R138" s="109"/>
      <c r="S138" s="109"/>
      <c r="T138" s="109"/>
      <c r="U138" s="109"/>
      <c r="Y138" s="109"/>
      <c r="Z138" s="109"/>
      <c r="AA138" s="109"/>
      <c r="AB138" s="109"/>
      <c r="AC138" s="109"/>
      <c r="AD138" s="109"/>
      <c r="AE138" s="109"/>
      <c r="AF138" s="109"/>
    </row>
    <row r="139" spans="1:32" ht="27" customHeight="1" x14ac:dyDescent="0.25">
      <c r="A139" s="109"/>
      <c r="B139" s="108"/>
      <c r="C139" s="109"/>
      <c r="D139" s="109"/>
      <c r="E139" s="109"/>
      <c r="F139" s="109"/>
      <c r="G139" s="217"/>
      <c r="H139" s="217"/>
      <c r="I139" s="217"/>
      <c r="J139" s="217"/>
      <c r="K139" s="217"/>
      <c r="L139" s="108"/>
      <c r="M139" s="109"/>
      <c r="N139" s="109"/>
      <c r="O139" s="109"/>
      <c r="P139" s="109"/>
      <c r="Q139" s="109"/>
      <c r="R139" s="109"/>
      <c r="S139" s="109"/>
      <c r="T139" s="109"/>
      <c r="U139" s="109"/>
      <c r="Y139" s="109"/>
      <c r="Z139" s="109"/>
      <c r="AA139" s="109"/>
      <c r="AB139" s="109"/>
      <c r="AC139" s="109"/>
      <c r="AD139" s="109"/>
      <c r="AE139" s="109"/>
      <c r="AF139" s="109"/>
    </row>
    <row r="140" spans="1:32" ht="27" customHeight="1" x14ac:dyDescent="0.25">
      <c r="A140" s="109"/>
      <c r="B140" s="108"/>
      <c r="C140" s="109"/>
      <c r="D140" s="109"/>
      <c r="E140" s="109"/>
      <c r="F140" s="109"/>
      <c r="G140" s="109"/>
      <c r="H140" s="109"/>
      <c r="I140" s="109"/>
      <c r="J140" s="109"/>
      <c r="K140" s="109"/>
      <c r="L140" s="109"/>
      <c r="M140" s="109"/>
      <c r="N140" s="109"/>
      <c r="O140" s="109"/>
      <c r="P140" s="109"/>
      <c r="Q140" s="109"/>
      <c r="R140" s="109"/>
      <c r="S140" s="109"/>
      <c r="T140" s="109"/>
      <c r="U140" s="109"/>
      <c r="Y140" s="109"/>
      <c r="Z140" s="109"/>
      <c r="AA140" s="109"/>
      <c r="AB140" s="109"/>
      <c r="AC140" s="109"/>
      <c r="AD140" s="109"/>
      <c r="AE140" s="109"/>
      <c r="AF140" s="109"/>
    </row>
    <row r="141" spans="1:32" ht="27.75" customHeight="1" x14ac:dyDescent="0.25">
      <c r="A141" s="109"/>
      <c r="B141" s="108"/>
      <c r="C141" s="109"/>
      <c r="D141" s="109"/>
      <c r="E141" s="109"/>
      <c r="F141" s="109"/>
      <c r="G141" s="109"/>
      <c r="H141" s="109"/>
      <c r="I141" s="109"/>
      <c r="J141" s="109"/>
      <c r="K141" s="109"/>
      <c r="L141" s="109"/>
      <c r="M141" s="109"/>
      <c r="N141" s="109"/>
      <c r="O141" s="109"/>
      <c r="P141" s="109"/>
      <c r="Q141" s="109"/>
      <c r="R141" s="109"/>
      <c r="S141" s="109"/>
      <c r="T141" s="109"/>
      <c r="U141" s="109"/>
      <c r="Y141" s="109"/>
      <c r="Z141" s="109"/>
      <c r="AA141" s="109"/>
      <c r="AB141" s="109"/>
      <c r="AC141" s="109"/>
      <c r="AD141" s="109"/>
      <c r="AE141" s="109"/>
      <c r="AF141" s="109"/>
    </row>
    <row r="142" spans="1:32" ht="27" customHeight="1" x14ac:dyDescent="0.25">
      <c r="A142" s="109"/>
      <c r="B142" s="108"/>
      <c r="C142" s="109"/>
      <c r="D142" s="109"/>
      <c r="E142" s="109"/>
      <c r="F142" s="109"/>
      <c r="G142" s="218"/>
      <c r="H142" s="218"/>
      <c r="I142" s="218"/>
      <c r="J142" s="218"/>
      <c r="K142" s="218"/>
      <c r="L142" s="108"/>
      <c r="M142" s="109"/>
      <c r="N142" s="109"/>
      <c r="O142" s="109"/>
      <c r="P142" s="109"/>
      <c r="Q142" s="109"/>
      <c r="R142" s="109"/>
      <c r="S142" s="109"/>
      <c r="T142" s="109"/>
      <c r="U142" s="109"/>
      <c r="Y142" s="109"/>
      <c r="Z142" s="109"/>
      <c r="AA142" s="109"/>
      <c r="AB142" s="109"/>
      <c r="AC142" s="109"/>
      <c r="AD142" s="109"/>
      <c r="AE142" s="109"/>
      <c r="AF142" s="109"/>
    </row>
    <row r="143" spans="1:32" ht="27" customHeight="1" x14ac:dyDescent="0.25">
      <c r="A143" s="109"/>
      <c r="B143" s="108"/>
      <c r="C143" s="109"/>
      <c r="D143" s="109"/>
      <c r="E143" s="109"/>
      <c r="F143" s="109"/>
      <c r="G143" s="206"/>
      <c r="H143" s="206"/>
      <c r="I143" s="206"/>
      <c r="J143" s="206"/>
      <c r="K143" s="206"/>
      <c r="L143" s="108"/>
      <c r="M143" s="109"/>
      <c r="N143" s="109"/>
      <c r="O143" s="109"/>
      <c r="P143" s="109"/>
      <c r="Q143" s="109"/>
      <c r="R143" s="109"/>
      <c r="S143" s="109"/>
      <c r="T143" s="109"/>
      <c r="U143" s="109"/>
      <c r="Y143" s="109"/>
      <c r="Z143" s="109"/>
      <c r="AA143" s="109"/>
      <c r="AB143" s="109"/>
      <c r="AC143" s="109"/>
      <c r="AD143" s="109"/>
      <c r="AE143" s="109"/>
      <c r="AF143" s="109"/>
    </row>
    <row r="144" spans="1:32" ht="23.25" customHeight="1" x14ac:dyDescent="0.25">
      <c r="A144" s="109"/>
      <c r="B144" s="108"/>
      <c r="C144" s="109"/>
      <c r="D144" s="109"/>
      <c r="E144" s="109"/>
      <c r="F144" s="109"/>
      <c r="G144" s="109"/>
      <c r="H144" s="109"/>
      <c r="I144" s="109"/>
      <c r="J144" s="109"/>
      <c r="K144" s="109"/>
      <c r="L144" s="109"/>
      <c r="M144" s="109"/>
      <c r="N144" s="109"/>
      <c r="O144" s="109"/>
      <c r="P144" s="109"/>
      <c r="Q144" s="109"/>
      <c r="R144" s="109"/>
      <c r="S144" s="109"/>
      <c r="T144" s="109"/>
      <c r="U144" s="109"/>
      <c r="Y144" s="109"/>
      <c r="Z144" s="109"/>
      <c r="AA144" s="109"/>
      <c r="AB144" s="109"/>
      <c r="AC144" s="109"/>
      <c r="AD144" s="109"/>
      <c r="AE144" s="109"/>
      <c r="AF144" s="109"/>
    </row>
    <row r="145" spans="1:32" ht="27" customHeight="1" x14ac:dyDescent="0.25">
      <c r="A145" s="109"/>
      <c r="B145" s="108"/>
      <c r="C145" s="109"/>
      <c r="D145" s="109"/>
      <c r="E145" s="109"/>
      <c r="F145" s="109"/>
      <c r="G145" s="216"/>
      <c r="H145" s="216"/>
      <c r="I145" s="216"/>
      <c r="J145" s="216"/>
      <c r="K145" s="216"/>
      <c r="L145" s="108"/>
      <c r="M145" s="109"/>
      <c r="N145" s="109"/>
      <c r="O145" s="109"/>
      <c r="P145" s="109"/>
      <c r="Q145" s="109"/>
      <c r="R145" s="109"/>
      <c r="S145" s="109"/>
      <c r="T145" s="109"/>
      <c r="U145" s="109"/>
      <c r="Y145" s="109"/>
      <c r="Z145" s="109"/>
      <c r="AA145" s="109"/>
      <c r="AB145" s="109"/>
      <c r="AC145" s="109"/>
      <c r="AD145" s="109"/>
      <c r="AE145" s="109"/>
      <c r="AF145" s="109"/>
    </row>
    <row r="146" spans="1:32" ht="13.5" customHeight="1" x14ac:dyDescent="0.25">
      <c r="A146" s="109"/>
      <c r="B146" s="108"/>
      <c r="C146" s="109"/>
      <c r="D146" s="109"/>
      <c r="E146" s="109"/>
      <c r="F146" s="109"/>
      <c r="G146" s="206"/>
      <c r="H146" s="206"/>
      <c r="I146" s="206"/>
      <c r="J146" s="206"/>
      <c r="K146" s="206"/>
      <c r="L146" s="108"/>
      <c r="M146" s="109"/>
      <c r="N146" s="109"/>
      <c r="O146" s="109"/>
      <c r="P146" s="109"/>
      <c r="Q146" s="109"/>
      <c r="R146" s="109"/>
      <c r="S146" s="109"/>
      <c r="T146" s="109"/>
      <c r="U146" s="109"/>
      <c r="Y146" s="109"/>
      <c r="Z146" s="109"/>
      <c r="AA146" s="109"/>
      <c r="AB146" s="109"/>
      <c r="AC146" s="109"/>
      <c r="AD146" s="109"/>
      <c r="AE146" s="109"/>
      <c r="AF146" s="109"/>
    </row>
    <row r="147" spans="1:32" ht="27" customHeight="1" x14ac:dyDescent="0.25">
      <c r="A147" s="109"/>
      <c r="B147" s="108"/>
      <c r="C147" s="109"/>
      <c r="D147" s="109"/>
      <c r="E147" s="109"/>
      <c r="F147" s="109"/>
      <c r="G147" s="206"/>
      <c r="H147" s="206"/>
      <c r="I147" s="206"/>
      <c r="J147" s="206"/>
      <c r="K147" s="206"/>
      <c r="L147" s="207"/>
      <c r="M147" s="208"/>
      <c r="N147" s="109"/>
      <c r="O147" s="109"/>
      <c r="P147" s="109"/>
      <c r="Q147" s="109"/>
      <c r="R147" s="109"/>
      <c r="S147" s="109"/>
      <c r="T147" s="109"/>
      <c r="U147" s="109"/>
      <c r="Y147" s="109"/>
      <c r="Z147" s="109"/>
      <c r="AA147" s="109"/>
      <c r="AB147" s="109"/>
      <c r="AC147" s="109"/>
      <c r="AD147" s="109"/>
      <c r="AE147" s="109"/>
      <c r="AF147" s="109"/>
    </row>
    <row r="148" spans="1:32" ht="27" customHeight="1" x14ac:dyDescent="0.25">
      <c r="A148" s="109"/>
      <c r="B148" s="108"/>
      <c r="C148" s="109"/>
      <c r="D148" s="109"/>
      <c r="E148" s="109"/>
      <c r="F148" s="109"/>
      <c r="G148" s="206"/>
      <c r="H148" s="206"/>
      <c r="I148" s="206"/>
      <c r="J148" s="206"/>
      <c r="K148" s="206"/>
      <c r="L148" s="207"/>
      <c r="M148" s="208"/>
      <c r="N148" s="109"/>
      <c r="O148" s="109"/>
      <c r="P148" s="109"/>
      <c r="Q148" s="109"/>
      <c r="R148" s="109"/>
      <c r="S148" s="109"/>
      <c r="T148" s="109"/>
      <c r="U148" s="109"/>
      <c r="Y148" s="109"/>
      <c r="Z148" s="109"/>
      <c r="AA148" s="109"/>
      <c r="AB148" s="109"/>
      <c r="AC148" s="109"/>
      <c r="AD148" s="109"/>
      <c r="AE148" s="109"/>
      <c r="AF148" s="109"/>
    </row>
    <row r="149" spans="1:32" ht="27" customHeight="1" x14ac:dyDescent="0.25">
      <c r="A149" s="109"/>
      <c r="B149" s="108"/>
      <c r="C149" s="109"/>
      <c r="D149" s="109"/>
      <c r="E149" s="109"/>
      <c r="F149" s="109"/>
      <c r="G149" s="206"/>
      <c r="H149" s="206"/>
      <c r="I149" s="206"/>
      <c r="J149" s="206"/>
      <c r="K149" s="206"/>
      <c r="L149" s="207"/>
      <c r="M149" s="208"/>
      <c r="N149" s="109"/>
      <c r="O149" s="109"/>
      <c r="P149" s="109"/>
      <c r="Q149" s="109"/>
      <c r="R149" s="109"/>
      <c r="S149" s="109"/>
      <c r="T149" s="109"/>
      <c r="U149" s="109"/>
      <c r="Y149" s="109"/>
      <c r="Z149" s="109"/>
      <c r="AA149" s="109"/>
      <c r="AB149" s="109"/>
      <c r="AC149" s="109"/>
      <c r="AD149" s="109"/>
      <c r="AE149" s="109"/>
      <c r="AF149" s="109"/>
    </row>
    <row r="150" spans="1:32" ht="13.5" customHeight="1" x14ac:dyDescent="0.25">
      <c r="A150" s="109"/>
      <c r="B150" s="108"/>
      <c r="C150" s="109"/>
      <c r="D150" s="109"/>
      <c r="E150" s="109"/>
      <c r="F150" s="109"/>
      <c r="G150" s="206"/>
      <c r="H150" s="206"/>
      <c r="I150" s="206"/>
      <c r="J150" s="206"/>
      <c r="K150" s="206"/>
      <c r="L150" s="207"/>
      <c r="M150" s="208"/>
      <c r="N150" s="109"/>
      <c r="O150" s="109"/>
      <c r="P150" s="109"/>
      <c r="Q150" s="109"/>
      <c r="R150" s="109"/>
      <c r="S150" s="109"/>
      <c r="T150" s="109"/>
      <c r="U150" s="109"/>
      <c r="Y150" s="109"/>
      <c r="Z150" s="109"/>
      <c r="AA150" s="109"/>
      <c r="AB150" s="109"/>
      <c r="AC150" s="109"/>
      <c r="AD150" s="109"/>
      <c r="AE150" s="109"/>
      <c r="AF150" s="109"/>
    </row>
    <row r="151" spans="1:32" ht="27" customHeight="1" x14ac:dyDescent="0.25">
      <c r="A151" s="109"/>
      <c r="B151" s="108"/>
      <c r="C151" s="109"/>
      <c r="D151" s="109"/>
      <c r="E151" s="109"/>
      <c r="F151" s="109"/>
      <c r="G151" s="206"/>
      <c r="H151" s="206"/>
      <c r="I151" s="206"/>
      <c r="J151" s="206"/>
      <c r="K151" s="206"/>
      <c r="L151" s="207"/>
      <c r="M151" s="208"/>
      <c r="N151" s="109"/>
      <c r="O151" s="109"/>
      <c r="P151" s="109"/>
      <c r="Q151" s="109"/>
      <c r="R151" s="109"/>
      <c r="S151" s="109"/>
      <c r="T151" s="109"/>
      <c r="U151" s="109"/>
      <c r="Y151" s="109"/>
      <c r="Z151" s="109"/>
      <c r="AA151" s="109"/>
      <c r="AB151" s="109"/>
      <c r="AC151" s="109"/>
      <c r="AD151" s="109"/>
      <c r="AE151" s="109"/>
      <c r="AF151" s="109"/>
    </row>
    <row r="152" spans="1:32" ht="40.5" customHeight="1" x14ac:dyDescent="0.25">
      <c r="A152" s="109"/>
      <c r="B152" s="108"/>
      <c r="C152" s="109"/>
      <c r="D152" s="109"/>
      <c r="E152" s="109"/>
      <c r="F152" s="109"/>
      <c r="G152" s="214"/>
      <c r="H152" s="214"/>
      <c r="I152" s="214"/>
      <c r="J152" s="214"/>
      <c r="K152" s="214"/>
      <c r="L152" s="207"/>
      <c r="M152" s="208"/>
      <c r="N152" s="109"/>
      <c r="O152" s="109"/>
      <c r="P152" s="109"/>
      <c r="Q152" s="109"/>
      <c r="R152" s="109"/>
      <c r="S152" s="109"/>
      <c r="T152" s="109"/>
      <c r="U152" s="109"/>
      <c r="Y152" s="109"/>
      <c r="Z152" s="109"/>
      <c r="AA152" s="109"/>
      <c r="AB152" s="109"/>
      <c r="AC152" s="109"/>
      <c r="AD152" s="109"/>
      <c r="AE152" s="109"/>
      <c r="AF152" s="109"/>
    </row>
    <row r="153" spans="1:32" ht="27" customHeight="1" x14ac:dyDescent="0.25">
      <c r="A153" s="109"/>
      <c r="B153" s="108"/>
      <c r="C153" s="109"/>
      <c r="D153" s="109"/>
      <c r="E153" s="109"/>
      <c r="F153" s="109"/>
      <c r="G153" s="208"/>
      <c r="H153" s="208"/>
      <c r="I153" s="208"/>
      <c r="J153" s="208"/>
      <c r="K153" s="208"/>
      <c r="L153" s="207"/>
      <c r="M153" s="208"/>
      <c r="N153" s="109"/>
      <c r="O153" s="109"/>
      <c r="P153" s="109"/>
      <c r="Q153" s="109"/>
      <c r="R153" s="109"/>
      <c r="S153" s="109"/>
      <c r="T153" s="109"/>
      <c r="U153" s="109"/>
      <c r="Y153" s="109"/>
      <c r="Z153" s="109"/>
      <c r="AA153" s="109"/>
      <c r="AB153" s="109"/>
      <c r="AC153" s="109"/>
      <c r="AD153" s="109"/>
      <c r="AE153" s="109"/>
      <c r="AF153" s="109"/>
    </row>
    <row r="154" spans="1:32" ht="13.5" customHeight="1" x14ac:dyDescent="0.25">
      <c r="A154" s="109"/>
      <c r="B154" s="108"/>
      <c r="C154" s="109"/>
      <c r="D154" s="109"/>
      <c r="E154" s="109"/>
      <c r="F154" s="109"/>
      <c r="G154" s="208"/>
      <c r="H154" s="208"/>
      <c r="I154" s="208"/>
      <c r="J154" s="208"/>
      <c r="K154" s="208"/>
      <c r="L154" s="208"/>
      <c r="M154" s="208"/>
      <c r="N154" s="109"/>
      <c r="O154" s="109"/>
      <c r="P154" s="109"/>
      <c r="Q154" s="109"/>
      <c r="R154" s="109"/>
      <c r="S154" s="109"/>
      <c r="T154" s="109"/>
      <c r="U154" s="109"/>
      <c r="Y154" s="109"/>
      <c r="Z154" s="109"/>
      <c r="AA154" s="109"/>
      <c r="AB154" s="109"/>
      <c r="AC154" s="109"/>
      <c r="AD154" s="109"/>
      <c r="AE154" s="109"/>
      <c r="AF154" s="109"/>
    </row>
    <row r="155" spans="1:32" ht="13.5" customHeight="1" x14ac:dyDescent="0.25">
      <c r="A155" s="109"/>
      <c r="B155" s="108"/>
      <c r="C155" s="109"/>
      <c r="D155" s="109"/>
      <c r="E155" s="109"/>
      <c r="F155" s="109"/>
      <c r="G155" s="208"/>
      <c r="H155" s="208"/>
      <c r="I155" s="208"/>
      <c r="J155" s="208"/>
      <c r="K155" s="208"/>
      <c r="L155" s="208"/>
      <c r="M155" s="208"/>
      <c r="N155" s="109"/>
      <c r="O155" s="109"/>
      <c r="P155" s="109"/>
      <c r="Q155" s="109"/>
      <c r="R155" s="109"/>
      <c r="S155" s="109"/>
      <c r="T155" s="109"/>
      <c r="U155" s="109"/>
      <c r="Y155" s="109"/>
      <c r="Z155" s="109"/>
      <c r="AA155" s="109"/>
      <c r="AB155" s="109"/>
      <c r="AC155" s="109"/>
      <c r="AD155" s="109"/>
      <c r="AE155" s="109"/>
      <c r="AF155" s="109"/>
    </row>
    <row r="156" spans="1:32" ht="13.5" customHeight="1" x14ac:dyDescent="0.25">
      <c r="A156" s="109"/>
      <c r="B156" s="108"/>
      <c r="C156" s="109"/>
      <c r="D156" s="109"/>
      <c r="E156" s="109"/>
      <c r="F156" s="109"/>
      <c r="G156" s="208"/>
      <c r="H156" s="208"/>
      <c r="I156" s="208"/>
      <c r="J156" s="208"/>
      <c r="K156" s="208"/>
      <c r="L156" s="208"/>
      <c r="M156" s="208"/>
      <c r="N156" s="109"/>
      <c r="O156" s="109"/>
      <c r="P156" s="109"/>
      <c r="Q156" s="109"/>
      <c r="R156" s="109"/>
      <c r="S156" s="109"/>
      <c r="T156" s="109"/>
      <c r="U156" s="109"/>
      <c r="Y156" s="109"/>
      <c r="Z156" s="109"/>
      <c r="AA156" s="109"/>
      <c r="AB156" s="109"/>
      <c r="AC156" s="109"/>
      <c r="AD156" s="109"/>
      <c r="AE156" s="109"/>
      <c r="AF156" s="109"/>
    </row>
    <row r="157" spans="1:32" ht="13.5" customHeight="1" x14ac:dyDescent="0.25">
      <c r="A157" s="109"/>
      <c r="B157" s="108"/>
      <c r="C157" s="109"/>
      <c r="D157" s="109"/>
      <c r="E157" s="109"/>
      <c r="F157" s="109"/>
      <c r="G157" s="208"/>
      <c r="H157" s="208"/>
      <c r="I157" s="208"/>
      <c r="J157" s="208"/>
      <c r="K157" s="208"/>
      <c r="L157" s="208"/>
      <c r="M157" s="208"/>
      <c r="N157" s="109"/>
      <c r="O157" s="109"/>
      <c r="P157" s="109"/>
      <c r="Q157" s="109"/>
      <c r="R157" s="109"/>
      <c r="S157" s="109"/>
      <c r="T157" s="109"/>
      <c r="U157" s="109"/>
      <c r="Y157" s="109"/>
      <c r="Z157" s="109"/>
      <c r="AA157" s="109"/>
      <c r="AB157" s="109"/>
      <c r="AC157" s="109"/>
      <c r="AD157" s="109"/>
      <c r="AE157" s="109"/>
      <c r="AF157" s="109"/>
    </row>
    <row r="158" spans="1:32" ht="13.5" customHeight="1" x14ac:dyDescent="0.25">
      <c r="A158" s="109"/>
      <c r="B158" s="108"/>
      <c r="C158" s="109"/>
      <c r="D158" s="109"/>
      <c r="E158" s="109"/>
      <c r="F158" s="109"/>
      <c r="G158" s="208"/>
      <c r="H158" s="208"/>
      <c r="I158" s="208"/>
      <c r="J158" s="208"/>
      <c r="K158" s="208"/>
      <c r="L158" s="208"/>
      <c r="M158" s="208"/>
      <c r="N158" s="109"/>
      <c r="O158" s="109"/>
      <c r="P158" s="109"/>
      <c r="Q158" s="109"/>
      <c r="R158" s="109"/>
      <c r="S158" s="109"/>
      <c r="T158" s="109"/>
      <c r="U158" s="109"/>
      <c r="Y158" s="109"/>
      <c r="Z158" s="109"/>
      <c r="AA158" s="109"/>
      <c r="AB158" s="109"/>
      <c r="AC158" s="109"/>
      <c r="AD158" s="109"/>
      <c r="AE158" s="109"/>
      <c r="AF158" s="109"/>
    </row>
    <row r="159" spans="1:32" ht="13.5" customHeight="1" x14ac:dyDescent="0.25">
      <c r="A159" s="109"/>
      <c r="B159" s="108"/>
      <c r="C159" s="109"/>
      <c r="D159" s="109"/>
      <c r="E159" s="109"/>
      <c r="F159" s="109"/>
      <c r="G159" s="208"/>
      <c r="H159" s="208"/>
      <c r="I159" s="208"/>
      <c r="J159" s="208"/>
      <c r="K159" s="208"/>
      <c r="L159" s="208"/>
      <c r="M159" s="208"/>
      <c r="N159" s="109"/>
      <c r="O159" s="109"/>
      <c r="P159" s="109"/>
      <c r="Q159" s="109"/>
      <c r="R159" s="109"/>
      <c r="S159" s="109"/>
      <c r="T159" s="109"/>
      <c r="U159" s="109"/>
      <c r="Y159" s="109"/>
      <c r="Z159" s="109"/>
      <c r="AA159" s="109"/>
      <c r="AB159" s="109"/>
      <c r="AC159" s="109"/>
      <c r="AD159" s="109"/>
      <c r="AE159" s="109"/>
      <c r="AF159" s="109"/>
    </row>
    <row r="160" spans="1:32" ht="13.5" customHeight="1" x14ac:dyDescent="0.25">
      <c r="A160" s="109"/>
      <c r="B160" s="108"/>
      <c r="C160" s="109"/>
      <c r="D160" s="109"/>
      <c r="E160" s="109"/>
      <c r="F160" s="109"/>
      <c r="G160" s="208"/>
      <c r="H160" s="208"/>
      <c r="I160" s="208"/>
      <c r="J160" s="208"/>
      <c r="K160" s="208"/>
      <c r="L160" s="208"/>
      <c r="M160" s="208"/>
      <c r="N160" s="109"/>
      <c r="O160" s="109"/>
      <c r="P160" s="109"/>
      <c r="Q160" s="109"/>
      <c r="R160" s="109"/>
      <c r="S160" s="109"/>
      <c r="T160" s="109"/>
      <c r="U160" s="109"/>
      <c r="Y160" s="109"/>
      <c r="Z160" s="109"/>
      <c r="AA160" s="109"/>
      <c r="AB160" s="109"/>
      <c r="AC160" s="109"/>
      <c r="AD160" s="109"/>
      <c r="AE160" s="109"/>
      <c r="AF160" s="109"/>
    </row>
    <row r="161" spans="1:32" ht="13.5" customHeight="1" x14ac:dyDescent="0.25">
      <c r="A161" s="109"/>
      <c r="B161" s="108"/>
      <c r="C161" s="109"/>
      <c r="D161" s="109"/>
      <c r="E161" s="109"/>
      <c r="F161" s="109"/>
      <c r="G161" s="208"/>
      <c r="H161" s="208"/>
      <c r="I161" s="208"/>
      <c r="J161" s="208"/>
      <c r="K161" s="208"/>
      <c r="L161" s="208"/>
      <c r="M161" s="208"/>
      <c r="N161" s="109"/>
      <c r="O161" s="109"/>
      <c r="P161" s="109"/>
      <c r="Q161" s="109"/>
      <c r="R161" s="109"/>
      <c r="S161" s="109"/>
      <c r="T161" s="109"/>
      <c r="U161" s="109"/>
      <c r="Y161" s="109"/>
      <c r="Z161" s="109"/>
      <c r="AA161" s="109"/>
      <c r="AB161" s="109"/>
      <c r="AC161" s="109"/>
      <c r="AD161" s="109"/>
      <c r="AE161" s="109"/>
      <c r="AF161" s="109"/>
    </row>
    <row r="162" spans="1:32" ht="13.5" customHeight="1" x14ac:dyDescent="0.25">
      <c r="A162" s="109"/>
      <c r="B162" s="108"/>
      <c r="C162" s="109"/>
      <c r="D162" s="109"/>
      <c r="E162" s="109"/>
      <c r="F162" s="109"/>
      <c r="G162" s="208"/>
      <c r="H162" s="208"/>
      <c r="I162" s="208"/>
      <c r="J162" s="208"/>
      <c r="K162" s="208"/>
      <c r="L162" s="109"/>
      <c r="M162" s="109"/>
      <c r="N162" s="109"/>
      <c r="O162" s="109"/>
      <c r="P162" s="109"/>
      <c r="Q162" s="109"/>
      <c r="R162" s="109"/>
      <c r="S162" s="109"/>
      <c r="T162" s="109"/>
      <c r="U162" s="109"/>
      <c r="Y162" s="109"/>
      <c r="Z162" s="109"/>
      <c r="AA162" s="109"/>
      <c r="AB162" s="109"/>
      <c r="AC162" s="109"/>
      <c r="AD162" s="109"/>
      <c r="AE162" s="109"/>
      <c r="AF162" s="109"/>
    </row>
    <row r="163" spans="1:32" ht="13.5" customHeight="1" x14ac:dyDescent="0.25">
      <c r="A163" s="109"/>
      <c r="B163" s="108"/>
      <c r="C163" s="109"/>
      <c r="D163" s="109"/>
      <c r="E163" s="109"/>
      <c r="F163" s="109"/>
      <c r="G163" s="212"/>
      <c r="H163" s="212"/>
      <c r="I163" s="212"/>
      <c r="J163" s="212"/>
      <c r="K163" s="212"/>
      <c r="L163" s="109"/>
      <c r="M163" s="109"/>
      <c r="N163" s="109"/>
      <c r="O163" s="109"/>
      <c r="P163" s="109"/>
      <c r="Q163" s="109"/>
      <c r="R163" s="109"/>
      <c r="S163" s="109"/>
      <c r="T163" s="109"/>
      <c r="U163" s="109"/>
      <c r="Y163" s="109"/>
      <c r="Z163" s="109"/>
      <c r="AA163" s="109"/>
      <c r="AB163" s="109"/>
      <c r="AC163" s="109"/>
      <c r="AD163" s="109"/>
      <c r="AE163" s="109"/>
      <c r="AF163" s="109"/>
    </row>
    <row r="164" spans="1:32" ht="13.5" customHeight="1" x14ac:dyDescent="0.25">
      <c r="A164" s="109"/>
      <c r="B164" s="108"/>
      <c r="C164" s="109"/>
      <c r="D164" s="109"/>
      <c r="E164" s="109"/>
      <c r="F164" s="109"/>
      <c r="G164" s="109"/>
      <c r="H164" s="109"/>
      <c r="I164" s="109"/>
      <c r="J164" s="109"/>
      <c r="K164" s="109"/>
      <c r="L164" s="109"/>
      <c r="M164" s="109"/>
      <c r="N164" s="109"/>
      <c r="O164" s="109"/>
      <c r="P164" s="109"/>
      <c r="Q164" s="109"/>
      <c r="R164" s="109"/>
      <c r="S164" s="109"/>
      <c r="T164" s="109"/>
      <c r="U164" s="109"/>
      <c r="Y164" s="109"/>
      <c r="Z164" s="109"/>
      <c r="AA164" s="109"/>
      <c r="AB164" s="109"/>
      <c r="AC164" s="109"/>
      <c r="AD164" s="109"/>
      <c r="AE164" s="109"/>
      <c r="AF164" s="109"/>
    </row>
    <row r="165" spans="1:32" ht="13.5" customHeight="1" x14ac:dyDescent="0.25">
      <c r="A165" s="109"/>
      <c r="B165" s="108"/>
      <c r="C165" s="109"/>
      <c r="D165" s="109"/>
      <c r="E165" s="109"/>
      <c r="F165" s="109"/>
      <c r="G165" s="109"/>
      <c r="H165" s="109"/>
      <c r="I165" s="109"/>
      <c r="J165" s="109"/>
      <c r="K165" s="109"/>
      <c r="L165" s="109"/>
      <c r="M165" s="109"/>
      <c r="N165" s="109"/>
      <c r="O165" s="109"/>
      <c r="P165" s="109"/>
      <c r="Q165" s="109"/>
      <c r="R165" s="109"/>
      <c r="S165" s="109"/>
      <c r="T165" s="109"/>
      <c r="U165" s="109"/>
      <c r="Y165" s="109"/>
      <c r="Z165" s="109"/>
      <c r="AA165" s="109"/>
      <c r="AB165" s="109"/>
      <c r="AC165" s="109"/>
      <c r="AD165" s="109"/>
      <c r="AE165" s="109"/>
      <c r="AF165" s="109"/>
    </row>
    <row r="166" spans="1:32" ht="13.5" customHeight="1" x14ac:dyDescent="0.25">
      <c r="A166" s="109"/>
      <c r="B166" s="108"/>
      <c r="C166" s="109"/>
      <c r="D166" s="109"/>
      <c r="E166" s="109"/>
      <c r="F166" s="109"/>
      <c r="G166" s="109"/>
      <c r="H166" s="109"/>
      <c r="I166" s="109"/>
      <c r="J166" s="109"/>
      <c r="K166" s="109"/>
      <c r="L166" s="109"/>
      <c r="M166" s="109"/>
      <c r="N166" s="109"/>
      <c r="O166" s="109"/>
      <c r="P166" s="109"/>
      <c r="Q166" s="109"/>
      <c r="R166" s="109"/>
      <c r="S166" s="109"/>
      <c r="T166" s="109"/>
      <c r="U166" s="109"/>
      <c r="Y166" s="109"/>
      <c r="Z166" s="109"/>
      <c r="AA166" s="109"/>
      <c r="AB166" s="109"/>
      <c r="AC166" s="109"/>
      <c r="AD166" s="109"/>
      <c r="AE166" s="109"/>
      <c r="AF166" s="109"/>
    </row>
    <row r="167" spans="1:32" ht="13.5" customHeight="1" x14ac:dyDescent="0.25">
      <c r="A167" s="109"/>
      <c r="B167" s="108"/>
      <c r="C167" s="109"/>
      <c r="D167" s="109"/>
      <c r="E167" s="109"/>
      <c r="F167" s="109"/>
      <c r="G167" s="109"/>
      <c r="H167" s="109"/>
      <c r="I167" s="109"/>
      <c r="J167" s="109"/>
      <c r="K167" s="109"/>
      <c r="L167" s="109"/>
      <c r="M167" s="109"/>
      <c r="N167" s="109"/>
      <c r="O167" s="109"/>
      <c r="P167" s="109"/>
      <c r="Q167" s="109"/>
      <c r="R167" s="109"/>
      <c r="S167" s="109"/>
      <c r="T167" s="109"/>
      <c r="U167" s="109"/>
      <c r="Y167" s="109"/>
      <c r="Z167" s="109"/>
      <c r="AA167" s="109"/>
      <c r="AB167" s="109"/>
      <c r="AC167" s="109"/>
      <c r="AD167" s="109"/>
      <c r="AE167" s="109"/>
      <c r="AF167" s="109"/>
    </row>
    <row r="168" spans="1:32" ht="13.5" customHeight="1" x14ac:dyDescent="0.25">
      <c r="A168" s="109"/>
      <c r="B168" s="108"/>
      <c r="C168" s="109"/>
      <c r="D168" s="109"/>
      <c r="E168" s="109"/>
      <c r="F168" s="109"/>
      <c r="G168" s="109"/>
      <c r="H168" s="109"/>
      <c r="I168" s="109"/>
      <c r="J168" s="109"/>
      <c r="K168" s="109"/>
      <c r="L168" s="109"/>
      <c r="M168" s="109"/>
      <c r="N168" s="109"/>
      <c r="O168" s="109"/>
      <c r="P168" s="109"/>
      <c r="Q168" s="109"/>
      <c r="R168" s="109"/>
      <c r="S168" s="109"/>
      <c r="T168" s="109"/>
      <c r="U168" s="109"/>
      <c r="Y168" s="109"/>
      <c r="Z168" s="109"/>
      <c r="AA168" s="109"/>
      <c r="AB168" s="109"/>
      <c r="AC168" s="109"/>
      <c r="AD168" s="109"/>
      <c r="AE168" s="109"/>
      <c r="AF168" s="109"/>
    </row>
    <row r="169" spans="1:32" ht="13.5" customHeight="1" x14ac:dyDescent="0.25">
      <c r="A169" s="109"/>
      <c r="B169" s="108"/>
      <c r="C169" s="109"/>
      <c r="D169" s="109"/>
      <c r="E169" s="109"/>
      <c r="F169" s="109"/>
      <c r="G169" s="109"/>
      <c r="H169" s="109"/>
      <c r="I169" s="109"/>
      <c r="J169" s="109"/>
      <c r="K169" s="109"/>
      <c r="L169" s="109"/>
      <c r="M169" s="109"/>
      <c r="N169" s="109"/>
      <c r="O169" s="109"/>
      <c r="P169" s="109"/>
      <c r="Q169" s="109"/>
      <c r="R169" s="109"/>
      <c r="S169" s="109"/>
      <c r="T169" s="109"/>
      <c r="U169" s="109"/>
      <c r="Y169" s="109"/>
      <c r="Z169" s="109"/>
      <c r="AA169" s="109"/>
      <c r="AB169" s="109"/>
      <c r="AC169" s="109"/>
      <c r="AD169" s="109"/>
      <c r="AE169" s="109"/>
      <c r="AF169" s="109"/>
    </row>
    <row r="170" spans="1:32" ht="13.5" customHeight="1" x14ac:dyDescent="0.25">
      <c r="A170" s="109"/>
      <c r="B170" s="108"/>
      <c r="C170" s="109"/>
      <c r="D170" s="109"/>
      <c r="E170" s="109"/>
      <c r="F170" s="109"/>
      <c r="G170" s="109"/>
      <c r="H170" s="109"/>
      <c r="I170" s="109"/>
      <c r="J170" s="109"/>
      <c r="K170" s="109"/>
      <c r="L170" s="109"/>
      <c r="M170" s="109"/>
      <c r="N170" s="109"/>
      <c r="O170" s="109"/>
      <c r="P170" s="109"/>
      <c r="Q170" s="109"/>
      <c r="R170" s="109"/>
      <c r="S170" s="109"/>
      <c r="T170" s="109"/>
      <c r="U170" s="109"/>
      <c r="Y170" s="109"/>
      <c r="Z170" s="109"/>
      <c r="AA170" s="109"/>
      <c r="AB170" s="109"/>
      <c r="AC170" s="109"/>
      <c r="AD170" s="109"/>
      <c r="AE170" s="109"/>
      <c r="AF170" s="109"/>
    </row>
    <row r="171" spans="1:32" ht="13.5" customHeight="1" x14ac:dyDescent="0.25">
      <c r="A171" s="109"/>
      <c r="B171" s="108"/>
      <c r="C171" s="109"/>
      <c r="D171" s="109"/>
      <c r="E171" s="109"/>
      <c r="F171" s="109"/>
      <c r="G171" s="109"/>
      <c r="H171" s="109"/>
      <c r="I171" s="109"/>
      <c r="J171" s="109"/>
      <c r="K171" s="109"/>
      <c r="L171" s="109"/>
      <c r="M171" s="109"/>
      <c r="N171" s="109"/>
      <c r="O171" s="109"/>
      <c r="P171" s="109"/>
      <c r="Q171" s="109"/>
      <c r="R171" s="109"/>
      <c r="S171" s="109"/>
      <c r="T171" s="109"/>
      <c r="U171" s="109"/>
      <c r="Y171" s="109"/>
      <c r="Z171" s="109"/>
      <c r="AA171" s="109"/>
      <c r="AB171" s="109"/>
      <c r="AC171" s="109"/>
      <c r="AD171" s="109"/>
      <c r="AE171" s="109"/>
      <c r="AF171" s="109"/>
    </row>
    <row r="172" spans="1:32" ht="13.5" customHeight="1" x14ac:dyDescent="0.25">
      <c r="A172" s="109"/>
      <c r="B172" s="108"/>
      <c r="C172" s="109"/>
      <c r="D172" s="109"/>
      <c r="E172" s="109"/>
      <c r="F172" s="109"/>
      <c r="G172" s="109"/>
      <c r="H172" s="109"/>
      <c r="I172" s="109"/>
      <c r="J172" s="109"/>
      <c r="K172" s="109"/>
      <c r="L172" s="109"/>
      <c r="M172" s="109"/>
      <c r="N172" s="109"/>
      <c r="O172" s="109"/>
      <c r="P172" s="109"/>
      <c r="Q172" s="109"/>
      <c r="R172" s="109"/>
      <c r="S172" s="109"/>
      <c r="T172" s="109"/>
      <c r="U172" s="109"/>
      <c r="Y172" s="109"/>
      <c r="Z172" s="109"/>
      <c r="AA172" s="109"/>
      <c r="AB172" s="109"/>
      <c r="AC172" s="109"/>
      <c r="AD172" s="109"/>
      <c r="AE172" s="109"/>
      <c r="AF172" s="109"/>
    </row>
    <row r="173" spans="1:32" ht="13.5" customHeight="1" x14ac:dyDescent="0.25">
      <c r="A173" s="109"/>
      <c r="B173" s="108"/>
      <c r="C173" s="109"/>
      <c r="D173" s="109"/>
      <c r="E173" s="109"/>
      <c r="F173" s="109"/>
      <c r="G173" s="109"/>
      <c r="H173" s="109"/>
      <c r="I173" s="109"/>
      <c r="J173" s="109"/>
      <c r="K173" s="109"/>
      <c r="L173" s="109"/>
      <c r="M173" s="109"/>
      <c r="N173" s="109"/>
      <c r="O173" s="109"/>
      <c r="P173" s="109"/>
      <c r="Q173" s="109"/>
      <c r="R173" s="109"/>
      <c r="S173" s="109"/>
      <c r="T173" s="109"/>
      <c r="U173" s="109"/>
      <c r="Y173" s="109"/>
      <c r="Z173" s="109"/>
      <c r="AA173" s="109"/>
      <c r="AB173" s="109"/>
      <c r="AC173" s="109"/>
      <c r="AD173" s="109"/>
      <c r="AE173" s="109"/>
      <c r="AF173" s="109"/>
    </row>
    <row r="174" spans="1:32" ht="13.5" customHeight="1" x14ac:dyDescent="0.25">
      <c r="A174" s="109"/>
      <c r="B174" s="108"/>
      <c r="C174" s="109"/>
      <c r="D174" s="109"/>
      <c r="E174" s="109"/>
      <c r="F174" s="109"/>
      <c r="G174" s="109"/>
      <c r="H174" s="109"/>
      <c r="I174" s="109"/>
      <c r="J174" s="109"/>
      <c r="K174" s="109"/>
      <c r="L174" s="109"/>
      <c r="M174" s="109"/>
      <c r="N174" s="109"/>
      <c r="O174" s="109"/>
      <c r="P174" s="109"/>
      <c r="Q174" s="109"/>
      <c r="R174" s="109"/>
      <c r="S174" s="109"/>
      <c r="T174" s="109"/>
      <c r="U174" s="109"/>
      <c r="Y174" s="109"/>
      <c r="Z174" s="109"/>
      <c r="AA174" s="109"/>
      <c r="AB174" s="109"/>
      <c r="AC174" s="109"/>
      <c r="AD174" s="109"/>
      <c r="AE174" s="109"/>
      <c r="AF174" s="109"/>
    </row>
    <row r="175" spans="1:32" ht="13.5" customHeight="1" x14ac:dyDescent="0.25">
      <c r="A175" s="109"/>
      <c r="B175" s="108"/>
      <c r="C175" s="109"/>
      <c r="D175" s="109"/>
      <c r="E175" s="109"/>
      <c r="F175" s="109"/>
      <c r="G175" s="109"/>
      <c r="H175" s="109"/>
      <c r="I175" s="109"/>
      <c r="J175" s="109"/>
      <c r="K175" s="109"/>
      <c r="L175" s="109"/>
      <c r="M175" s="109"/>
      <c r="N175" s="109"/>
      <c r="O175" s="109"/>
      <c r="P175" s="109"/>
      <c r="Q175" s="109"/>
      <c r="R175" s="109"/>
      <c r="S175" s="109"/>
      <c r="T175" s="109"/>
      <c r="U175" s="109"/>
      <c r="Y175" s="109"/>
      <c r="Z175" s="109"/>
      <c r="AA175" s="109"/>
      <c r="AB175" s="109"/>
      <c r="AC175" s="109"/>
      <c r="AD175" s="109"/>
      <c r="AE175" s="109"/>
      <c r="AF175" s="109"/>
    </row>
    <row r="176" spans="1:32" ht="13.5" customHeight="1" x14ac:dyDescent="0.25">
      <c r="A176" s="109"/>
      <c r="B176" s="108"/>
      <c r="C176" s="109"/>
      <c r="D176" s="109"/>
      <c r="E176" s="109"/>
      <c r="F176" s="109"/>
      <c r="G176" s="109"/>
      <c r="H176" s="109"/>
      <c r="I176" s="109"/>
      <c r="J176" s="109"/>
      <c r="K176" s="109"/>
      <c r="L176" s="109"/>
      <c r="M176" s="109"/>
      <c r="N176" s="109"/>
      <c r="O176" s="109"/>
      <c r="P176" s="109"/>
      <c r="Q176" s="109"/>
      <c r="R176" s="109"/>
      <c r="S176" s="109"/>
      <c r="T176" s="109"/>
      <c r="U176" s="109"/>
      <c r="Y176" s="109"/>
      <c r="Z176" s="109"/>
      <c r="AA176" s="109"/>
      <c r="AB176" s="109"/>
      <c r="AC176" s="109"/>
      <c r="AD176" s="109"/>
      <c r="AE176" s="109"/>
      <c r="AF176" s="109"/>
    </row>
    <row r="177" spans="1:32" ht="13.5" customHeight="1" x14ac:dyDescent="0.25">
      <c r="A177" s="109"/>
      <c r="B177" s="108"/>
      <c r="C177" s="109"/>
      <c r="D177" s="109"/>
      <c r="E177" s="109"/>
      <c r="F177" s="109"/>
      <c r="G177" s="109"/>
      <c r="H177" s="109"/>
      <c r="I177" s="109"/>
      <c r="J177" s="109"/>
      <c r="K177" s="109"/>
      <c r="L177" s="109"/>
      <c r="M177" s="109"/>
      <c r="N177" s="109"/>
      <c r="O177" s="109"/>
      <c r="P177" s="109"/>
      <c r="Q177" s="109"/>
      <c r="R177" s="109"/>
      <c r="S177" s="109"/>
      <c r="T177" s="109"/>
      <c r="U177" s="109"/>
      <c r="Y177" s="109"/>
      <c r="Z177" s="109"/>
      <c r="AA177" s="109"/>
      <c r="AB177" s="109"/>
      <c r="AC177" s="109"/>
      <c r="AD177" s="109"/>
      <c r="AE177" s="109"/>
      <c r="AF177" s="109"/>
    </row>
    <row r="178" spans="1:32" ht="13.5" customHeight="1" x14ac:dyDescent="0.25">
      <c r="A178" s="109"/>
      <c r="B178" s="108"/>
      <c r="C178" s="109"/>
      <c r="D178" s="109"/>
      <c r="E178" s="109"/>
      <c r="F178" s="109"/>
      <c r="G178" s="109"/>
      <c r="H178" s="109"/>
      <c r="I178" s="109"/>
      <c r="J178" s="109"/>
      <c r="K178" s="109"/>
      <c r="L178" s="109"/>
      <c r="M178" s="109"/>
      <c r="N178" s="109"/>
      <c r="O178" s="109"/>
      <c r="P178" s="109"/>
      <c r="Q178" s="109"/>
      <c r="R178" s="109"/>
      <c r="S178" s="109"/>
      <c r="T178" s="109"/>
      <c r="U178" s="109"/>
      <c r="Y178" s="109"/>
      <c r="Z178" s="109"/>
      <c r="AA178" s="109"/>
      <c r="AB178" s="109"/>
      <c r="AC178" s="109"/>
      <c r="AD178" s="109"/>
      <c r="AE178" s="109"/>
      <c r="AF178" s="109"/>
    </row>
    <row r="179" spans="1:32" ht="13.5" customHeight="1" x14ac:dyDescent="0.25">
      <c r="A179" s="109"/>
      <c r="B179" s="108"/>
      <c r="C179" s="109"/>
      <c r="D179" s="109"/>
      <c r="E179" s="109"/>
      <c r="F179" s="109"/>
      <c r="G179" s="109"/>
      <c r="H179" s="109"/>
      <c r="I179" s="109"/>
      <c r="J179" s="109"/>
      <c r="K179" s="109"/>
      <c r="L179" s="109"/>
      <c r="M179" s="109"/>
      <c r="N179" s="109"/>
      <c r="O179" s="109"/>
      <c r="P179" s="109"/>
      <c r="Q179" s="109"/>
      <c r="R179" s="109"/>
      <c r="S179" s="109"/>
      <c r="T179" s="109"/>
      <c r="U179" s="109"/>
      <c r="Y179" s="109"/>
      <c r="Z179" s="109"/>
      <c r="AA179" s="109"/>
      <c r="AB179" s="109"/>
      <c r="AC179" s="109"/>
      <c r="AD179" s="109"/>
      <c r="AE179" s="109"/>
      <c r="AF179" s="109"/>
    </row>
    <row r="180" spans="1:32" ht="13.5" customHeight="1" x14ac:dyDescent="0.25">
      <c r="A180" s="109"/>
      <c r="B180" s="108"/>
      <c r="C180" s="109"/>
      <c r="D180" s="109"/>
      <c r="E180" s="109"/>
      <c r="F180" s="109"/>
      <c r="G180" s="109"/>
      <c r="H180" s="109"/>
      <c r="I180" s="109"/>
      <c r="J180" s="109"/>
      <c r="K180" s="109"/>
      <c r="L180" s="109"/>
      <c r="M180" s="109"/>
      <c r="N180" s="109"/>
      <c r="O180" s="109"/>
      <c r="P180" s="109"/>
      <c r="Q180" s="109"/>
      <c r="R180" s="109"/>
      <c r="S180" s="109"/>
      <c r="T180" s="109"/>
      <c r="U180" s="109"/>
      <c r="Y180" s="109"/>
      <c r="Z180" s="109"/>
      <c r="AA180" s="109"/>
      <c r="AB180" s="109"/>
      <c r="AC180" s="109"/>
      <c r="AD180" s="109"/>
      <c r="AE180" s="109"/>
      <c r="AF180" s="109"/>
    </row>
    <row r="181" spans="1:32" ht="13.5" customHeight="1" x14ac:dyDescent="0.25">
      <c r="A181" s="109"/>
      <c r="B181" s="108"/>
      <c r="C181" s="109"/>
      <c r="D181" s="109"/>
      <c r="E181" s="109"/>
      <c r="F181" s="109"/>
      <c r="G181" s="109"/>
      <c r="H181" s="109"/>
      <c r="I181" s="109"/>
      <c r="J181" s="109"/>
      <c r="K181" s="109"/>
      <c r="L181" s="109"/>
      <c r="M181" s="109"/>
      <c r="N181" s="109"/>
      <c r="O181" s="109"/>
      <c r="P181" s="109"/>
      <c r="Q181" s="109"/>
      <c r="R181" s="109"/>
      <c r="S181" s="109"/>
      <c r="T181" s="109"/>
      <c r="U181" s="109"/>
      <c r="Y181" s="109"/>
      <c r="Z181" s="109"/>
      <c r="AA181" s="109"/>
      <c r="AB181" s="109"/>
      <c r="AC181" s="109"/>
      <c r="AD181" s="109"/>
      <c r="AE181" s="109"/>
      <c r="AF181" s="109"/>
    </row>
    <row r="182" spans="1:32" ht="13.5" customHeight="1" x14ac:dyDescent="0.25">
      <c r="A182" s="109"/>
      <c r="B182" s="108"/>
      <c r="C182" s="109"/>
      <c r="D182" s="109"/>
      <c r="E182" s="109"/>
      <c r="F182" s="109"/>
      <c r="G182" s="109"/>
      <c r="H182" s="109"/>
      <c r="I182" s="109"/>
      <c r="J182" s="109"/>
      <c r="K182" s="109"/>
      <c r="L182" s="109"/>
      <c r="M182" s="109"/>
      <c r="N182" s="109"/>
      <c r="O182" s="109"/>
      <c r="P182" s="109"/>
      <c r="Q182" s="109"/>
      <c r="R182" s="109"/>
      <c r="S182" s="109"/>
      <c r="T182" s="109"/>
      <c r="U182" s="109"/>
      <c r="Y182" s="109"/>
      <c r="Z182" s="109"/>
      <c r="AA182" s="109"/>
      <c r="AB182" s="109"/>
      <c r="AC182" s="109"/>
      <c r="AD182" s="109"/>
      <c r="AE182" s="109"/>
      <c r="AF182" s="109"/>
    </row>
    <row r="183" spans="1:32" ht="13.5" customHeight="1" x14ac:dyDescent="0.25">
      <c r="A183" s="109"/>
      <c r="B183" s="108"/>
      <c r="C183" s="109"/>
      <c r="D183" s="109"/>
      <c r="E183" s="109"/>
      <c r="F183" s="109"/>
      <c r="G183" s="109"/>
      <c r="H183" s="109"/>
      <c r="I183" s="109"/>
      <c r="J183" s="109"/>
      <c r="K183" s="109"/>
      <c r="L183" s="109"/>
      <c r="M183" s="109"/>
      <c r="N183" s="109"/>
      <c r="O183" s="109"/>
      <c r="P183" s="109"/>
      <c r="Q183" s="109"/>
      <c r="R183" s="109"/>
      <c r="S183" s="109"/>
      <c r="T183" s="109"/>
      <c r="U183" s="109"/>
      <c r="Y183" s="109"/>
      <c r="Z183" s="109"/>
      <c r="AA183" s="109"/>
      <c r="AB183" s="109"/>
      <c r="AC183" s="109"/>
      <c r="AD183" s="109"/>
      <c r="AE183" s="109"/>
      <c r="AF183" s="109"/>
    </row>
    <row r="184" spans="1:32" ht="13.5" customHeight="1" x14ac:dyDescent="0.25">
      <c r="A184" s="109"/>
      <c r="B184" s="108"/>
      <c r="C184" s="109"/>
      <c r="D184" s="109"/>
      <c r="E184" s="109"/>
      <c r="F184" s="109"/>
      <c r="G184" s="109"/>
      <c r="H184" s="109"/>
      <c r="I184" s="109"/>
      <c r="J184" s="109"/>
      <c r="K184" s="109"/>
      <c r="L184" s="109"/>
      <c r="M184" s="109"/>
      <c r="N184" s="109"/>
      <c r="O184" s="109"/>
      <c r="P184" s="109"/>
      <c r="Q184" s="109"/>
      <c r="R184" s="109"/>
      <c r="S184" s="109"/>
      <c r="T184" s="109"/>
      <c r="U184" s="109"/>
      <c r="Y184" s="109"/>
      <c r="Z184" s="109"/>
      <c r="AA184" s="109"/>
      <c r="AB184" s="109"/>
      <c r="AC184" s="109"/>
      <c r="AD184" s="109"/>
      <c r="AE184" s="109"/>
      <c r="AF184" s="109"/>
    </row>
    <row r="185" spans="1:32" ht="13.5" customHeight="1" x14ac:dyDescent="0.25">
      <c r="A185" s="109"/>
      <c r="B185" s="108"/>
      <c r="C185" s="109"/>
      <c r="D185" s="109"/>
      <c r="E185" s="109"/>
      <c r="F185" s="109"/>
      <c r="G185" s="109"/>
      <c r="H185" s="109"/>
      <c r="I185" s="109"/>
      <c r="J185" s="109"/>
      <c r="K185" s="109"/>
      <c r="L185" s="109"/>
      <c r="M185" s="109"/>
      <c r="N185" s="109"/>
      <c r="O185" s="109"/>
      <c r="P185" s="109"/>
      <c r="Q185" s="109"/>
      <c r="R185" s="109"/>
      <c r="S185" s="109"/>
      <c r="T185" s="109"/>
      <c r="U185" s="109"/>
      <c r="Y185" s="109"/>
      <c r="Z185" s="109"/>
      <c r="AA185" s="109"/>
      <c r="AB185" s="109"/>
      <c r="AC185" s="109"/>
      <c r="AD185" s="109"/>
      <c r="AE185" s="109"/>
      <c r="AF185" s="109"/>
    </row>
    <row r="186" spans="1:32" ht="13.5" customHeight="1" x14ac:dyDescent="0.25">
      <c r="A186" s="109"/>
      <c r="B186" s="108"/>
      <c r="C186" s="109"/>
      <c r="D186" s="109"/>
      <c r="E186" s="109"/>
      <c r="F186" s="109"/>
      <c r="G186" s="109"/>
      <c r="H186" s="109"/>
      <c r="I186" s="109"/>
      <c r="J186" s="109"/>
      <c r="K186" s="109"/>
      <c r="L186" s="109"/>
      <c r="M186" s="109"/>
      <c r="N186" s="109"/>
      <c r="O186" s="109"/>
      <c r="P186" s="109"/>
      <c r="Q186" s="109"/>
      <c r="R186" s="109"/>
      <c r="S186" s="109"/>
      <c r="T186" s="109"/>
      <c r="U186" s="109"/>
      <c r="Y186" s="109"/>
      <c r="Z186" s="109"/>
      <c r="AA186" s="109"/>
      <c r="AB186" s="109"/>
      <c r="AC186" s="109"/>
      <c r="AD186" s="109"/>
      <c r="AE186" s="109"/>
      <c r="AF186" s="109"/>
    </row>
    <row r="187" spans="1:32" ht="13.5" customHeight="1" x14ac:dyDescent="0.25">
      <c r="A187" s="109"/>
      <c r="B187" s="108"/>
      <c r="C187" s="109"/>
      <c r="D187" s="109"/>
      <c r="E187" s="109"/>
      <c r="F187" s="109"/>
      <c r="G187" s="109"/>
      <c r="H187" s="109"/>
      <c r="I187" s="109"/>
      <c r="J187" s="109"/>
      <c r="K187" s="109"/>
      <c r="L187" s="109"/>
      <c r="M187" s="109"/>
      <c r="N187" s="109"/>
      <c r="O187" s="109"/>
      <c r="P187" s="109"/>
      <c r="Q187" s="109"/>
      <c r="R187" s="109"/>
      <c r="S187" s="109"/>
      <c r="T187" s="109"/>
      <c r="U187" s="109"/>
      <c r="Y187" s="109"/>
      <c r="Z187" s="109"/>
      <c r="AA187" s="109"/>
      <c r="AB187" s="109"/>
      <c r="AC187" s="109"/>
      <c r="AD187" s="109"/>
      <c r="AE187" s="109"/>
      <c r="AF187" s="109"/>
    </row>
    <row r="188" spans="1:32" ht="13.5" customHeight="1" x14ac:dyDescent="0.25">
      <c r="A188" s="109"/>
      <c r="B188" s="108"/>
      <c r="C188" s="109"/>
      <c r="D188" s="109"/>
      <c r="E188" s="109"/>
      <c r="F188" s="109"/>
      <c r="G188" s="109"/>
      <c r="H188" s="109"/>
      <c r="I188" s="109"/>
      <c r="J188" s="109"/>
      <c r="K188" s="109"/>
      <c r="L188" s="109"/>
      <c r="M188" s="109"/>
      <c r="N188" s="109"/>
      <c r="O188" s="109"/>
      <c r="P188" s="109"/>
      <c r="Q188" s="109"/>
      <c r="R188" s="109"/>
      <c r="S188" s="109"/>
      <c r="T188" s="109"/>
      <c r="U188" s="109"/>
      <c r="Y188" s="109"/>
      <c r="Z188" s="109"/>
      <c r="AA188" s="109"/>
      <c r="AB188" s="109"/>
      <c r="AC188" s="109"/>
      <c r="AD188" s="109"/>
      <c r="AE188" s="109"/>
      <c r="AF188" s="109"/>
    </row>
    <row r="189" spans="1:32" ht="13.5" customHeight="1" x14ac:dyDescent="0.25">
      <c r="A189" s="109"/>
      <c r="B189" s="108"/>
      <c r="C189" s="109"/>
      <c r="D189" s="109"/>
      <c r="E189" s="109"/>
      <c r="F189" s="109"/>
      <c r="G189" s="109"/>
      <c r="H189" s="109"/>
      <c r="I189" s="109"/>
      <c r="J189" s="109"/>
      <c r="K189" s="109"/>
      <c r="L189" s="109"/>
      <c r="M189" s="109"/>
      <c r="N189" s="109"/>
      <c r="O189" s="109"/>
      <c r="P189" s="109"/>
      <c r="Q189" s="109"/>
      <c r="R189" s="109"/>
      <c r="S189" s="109"/>
      <c r="T189" s="109"/>
      <c r="U189" s="109"/>
      <c r="Y189" s="109"/>
      <c r="Z189" s="109"/>
      <c r="AA189" s="109"/>
      <c r="AB189" s="109"/>
      <c r="AC189" s="109"/>
      <c r="AD189" s="109"/>
      <c r="AE189" s="109"/>
      <c r="AF189" s="109"/>
    </row>
    <row r="190" spans="1:32" ht="13.5" customHeight="1" x14ac:dyDescent="0.25">
      <c r="A190" s="109"/>
      <c r="B190" s="108"/>
      <c r="C190" s="109"/>
      <c r="D190" s="109"/>
      <c r="E190" s="109"/>
      <c r="F190" s="109"/>
      <c r="G190" s="109"/>
      <c r="H190" s="109"/>
      <c r="I190" s="109"/>
      <c r="J190" s="109"/>
      <c r="K190" s="109"/>
      <c r="L190" s="109"/>
      <c r="M190" s="109"/>
      <c r="N190" s="109"/>
      <c r="O190" s="109"/>
      <c r="P190" s="109"/>
      <c r="Q190" s="109"/>
      <c r="R190" s="109"/>
      <c r="S190" s="109"/>
      <c r="T190" s="109"/>
      <c r="U190" s="109"/>
      <c r="Y190" s="109"/>
      <c r="Z190" s="109"/>
      <c r="AA190" s="109"/>
      <c r="AB190" s="109"/>
      <c r="AC190" s="109"/>
      <c r="AD190" s="109"/>
      <c r="AE190" s="109"/>
      <c r="AF190" s="109"/>
    </row>
    <row r="191" spans="1:32" ht="13.5" customHeight="1" x14ac:dyDescent="0.25">
      <c r="A191" s="109"/>
      <c r="B191" s="108"/>
      <c r="C191" s="109"/>
      <c r="D191" s="109"/>
      <c r="E191" s="109"/>
      <c r="F191" s="109"/>
      <c r="G191" s="109"/>
      <c r="H191" s="109"/>
      <c r="I191" s="109"/>
      <c r="J191" s="109"/>
      <c r="K191" s="109"/>
      <c r="L191" s="109"/>
      <c r="M191" s="109"/>
      <c r="N191" s="109"/>
      <c r="O191" s="109"/>
      <c r="P191" s="109"/>
      <c r="Q191" s="109"/>
      <c r="R191" s="109"/>
      <c r="S191" s="109"/>
      <c r="T191" s="109"/>
      <c r="U191" s="109"/>
      <c r="Y191" s="109"/>
      <c r="Z191" s="109"/>
      <c r="AA191" s="109"/>
      <c r="AB191" s="109"/>
      <c r="AC191" s="109"/>
      <c r="AD191" s="109"/>
      <c r="AE191" s="109"/>
      <c r="AF191" s="109"/>
    </row>
    <row r="192" spans="1:32" ht="13.5" customHeight="1" x14ac:dyDescent="0.25">
      <c r="A192" s="109"/>
      <c r="B192" s="108"/>
      <c r="C192" s="109"/>
      <c r="D192" s="109"/>
      <c r="E192" s="109"/>
      <c r="F192" s="109"/>
      <c r="G192" s="109"/>
      <c r="H192" s="109"/>
      <c r="I192" s="109"/>
      <c r="J192" s="109"/>
      <c r="K192" s="109"/>
      <c r="L192" s="109"/>
      <c r="M192" s="109"/>
      <c r="N192" s="109"/>
      <c r="O192" s="109"/>
      <c r="P192" s="109"/>
      <c r="Q192" s="109"/>
      <c r="R192" s="109"/>
      <c r="S192" s="109"/>
      <c r="T192" s="109"/>
      <c r="U192" s="109"/>
      <c r="Y192" s="109"/>
      <c r="Z192" s="109"/>
      <c r="AA192" s="109"/>
      <c r="AB192" s="109"/>
      <c r="AC192" s="109"/>
      <c r="AD192" s="109"/>
      <c r="AE192" s="109"/>
      <c r="AF192" s="109"/>
    </row>
    <row r="193" spans="1:32" ht="13.5" customHeight="1" x14ac:dyDescent="0.25">
      <c r="A193" s="109"/>
      <c r="B193" s="108"/>
      <c r="C193" s="109"/>
      <c r="D193" s="109"/>
      <c r="E193" s="109"/>
      <c r="F193" s="109"/>
      <c r="G193" s="109"/>
      <c r="H193" s="109"/>
      <c r="I193" s="109"/>
      <c r="J193" s="109"/>
      <c r="K193" s="109"/>
      <c r="L193" s="109"/>
      <c r="M193" s="109"/>
      <c r="N193" s="109"/>
      <c r="O193" s="109"/>
      <c r="P193" s="109"/>
      <c r="Q193" s="109"/>
      <c r="R193" s="109"/>
      <c r="S193" s="109"/>
      <c r="T193" s="109"/>
      <c r="U193" s="109"/>
      <c r="Y193" s="109"/>
      <c r="Z193" s="109"/>
      <c r="AA193" s="109"/>
      <c r="AB193" s="109"/>
      <c r="AC193" s="109"/>
      <c r="AD193" s="109"/>
      <c r="AE193" s="109"/>
      <c r="AF193" s="109"/>
    </row>
    <row r="194" spans="1:32" ht="13.5" customHeight="1" x14ac:dyDescent="0.25">
      <c r="A194" s="109"/>
      <c r="B194" s="108"/>
      <c r="C194" s="109"/>
      <c r="D194" s="109"/>
      <c r="E194" s="109"/>
      <c r="F194" s="109"/>
      <c r="G194" s="109"/>
      <c r="H194" s="109"/>
      <c r="I194" s="109"/>
      <c r="J194" s="109"/>
      <c r="K194" s="109"/>
      <c r="L194" s="109"/>
      <c r="M194" s="109"/>
      <c r="N194" s="109"/>
      <c r="O194" s="109"/>
      <c r="P194" s="109"/>
      <c r="Q194" s="109"/>
      <c r="R194" s="109"/>
      <c r="S194" s="109"/>
      <c r="T194" s="109"/>
      <c r="U194" s="109"/>
      <c r="Y194" s="109"/>
      <c r="Z194" s="109"/>
      <c r="AA194" s="109"/>
      <c r="AB194" s="109"/>
      <c r="AC194" s="109"/>
      <c r="AD194" s="109"/>
      <c r="AE194" s="109"/>
      <c r="AF194" s="109"/>
    </row>
    <row r="195" spans="1:32" ht="13.5" customHeight="1" x14ac:dyDescent="0.25">
      <c r="A195" s="109"/>
      <c r="B195" s="108"/>
      <c r="C195" s="109"/>
      <c r="D195" s="109"/>
      <c r="E195" s="109"/>
      <c r="F195" s="109"/>
      <c r="G195" s="109"/>
      <c r="H195" s="109"/>
      <c r="I195" s="109"/>
      <c r="J195" s="109"/>
      <c r="K195" s="109"/>
      <c r="L195" s="109"/>
      <c r="M195" s="109"/>
      <c r="N195" s="109"/>
      <c r="O195" s="109"/>
      <c r="P195" s="109"/>
      <c r="Q195" s="109"/>
      <c r="R195" s="109"/>
      <c r="S195" s="109"/>
      <c r="T195" s="109"/>
      <c r="U195" s="109"/>
      <c r="Y195" s="109"/>
      <c r="Z195" s="109"/>
      <c r="AA195" s="109"/>
      <c r="AB195" s="109"/>
      <c r="AC195" s="109"/>
      <c r="AD195" s="109"/>
      <c r="AE195" s="109"/>
      <c r="AF195" s="109"/>
    </row>
    <row r="196" spans="1:32" ht="13.5" customHeight="1" x14ac:dyDescent="0.25">
      <c r="A196" s="109"/>
      <c r="B196" s="108"/>
      <c r="C196" s="109"/>
      <c r="D196" s="109"/>
      <c r="E196" s="109"/>
      <c r="F196" s="109"/>
      <c r="G196" s="109"/>
      <c r="H196" s="109"/>
      <c r="I196" s="109"/>
      <c r="J196" s="109"/>
      <c r="K196" s="109"/>
      <c r="L196" s="109"/>
      <c r="M196" s="109"/>
      <c r="N196" s="109"/>
      <c r="O196" s="109"/>
      <c r="P196" s="109"/>
      <c r="Q196" s="109"/>
      <c r="R196" s="109"/>
      <c r="S196" s="109"/>
      <c r="T196" s="109"/>
      <c r="U196" s="109"/>
      <c r="Y196" s="109"/>
      <c r="Z196" s="109"/>
      <c r="AA196" s="109"/>
      <c r="AB196" s="109"/>
      <c r="AC196" s="109"/>
      <c r="AD196" s="109"/>
      <c r="AE196" s="109"/>
      <c r="AF196" s="109"/>
    </row>
    <row r="197" spans="1:32" ht="13.5" customHeight="1" x14ac:dyDescent="0.25">
      <c r="A197" s="109"/>
      <c r="B197" s="108"/>
      <c r="C197" s="109"/>
      <c r="D197" s="109"/>
      <c r="E197" s="109"/>
      <c r="F197" s="109"/>
      <c r="G197" s="109"/>
      <c r="H197" s="109"/>
      <c r="I197" s="109"/>
      <c r="J197" s="109"/>
      <c r="K197" s="109"/>
      <c r="L197" s="109"/>
      <c r="M197" s="109"/>
      <c r="N197" s="109"/>
      <c r="O197" s="109"/>
      <c r="P197" s="109"/>
      <c r="Q197" s="109"/>
      <c r="R197" s="109"/>
      <c r="S197" s="109"/>
      <c r="T197" s="109"/>
      <c r="U197" s="109"/>
      <c r="Y197" s="109"/>
      <c r="Z197" s="109"/>
      <c r="AA197" s="109"/>
      <c r="AB197" s="109"/>
      <c r="AC197" s="109"/>
      <c r="AD197" s="109"/>
      <c r="AE197" s="109"/>
      <c r="AF197" s="109"/>
    </row>
    <row r="198" spans="1:32" ht="13.5" customHeight="1" x14ac:dyDescent="0.25">
      <c r="A198" s="109"/>
      <c r="B198" s="109"/>
      <c r="C198" s="109"/>
      <c r="D198" s="109"/>
      <c r="E198" s="109"/>
      <c r="F198" s="109"/>
      <c r="G198" s="109"/>
      <c r="H198" s="109"/>
      <c r="I198" s="109"/>
      <c r="J198" s="109"/>
      <c r="K198" s="109"/>
      <c r="L198" s="109"/>
      <c r="M198" s="109"/>
      <c r="N198" s="109"/>
      <c r="O198" s="109"/>
      <c r="P198" s="109"/>
      <c r="Q198" s="109"/>
      <c r="R198" s="109"/>
      <c r="S198" s="109"/>
      <c r="T198" s="109"/>
      <c r="U198" s="109"/>
      <c r="Y198" s="109"/>
      <c r="Z198" s="109"/>
      <c r="AA198" s="109"/>
      <c r="AB198" s="109"/>
      <c r="AC198" s="109"/>
      <c r="AD198" s="109"/>
      <c r="AE198" s="109"/>
      <c r="AF198" s="109"/>
    </row>
    <row r="199" spans="1:32" ht="13.5" customHeight="1" x14ac:dyDescent="0.25">
      <c r="A199" s="109"/>
      <c r="B199" s="109"/>
      <c r="C199" s="109"/>
      <c r="D199" s="109"/>
      <c r="E199" s="109"/>
      <c r="F199" s="109"/>
      <c r="G199" s="109"/>
      <c r="H199" s="109"/>
      <c r="I199" s="109"/>
      <c r="J199" s="109"/>
      <c r="K199" s="109"/>
      <c r="L199" s="109"/>
      <c r="M199" s="109"/>
      <c r="N199" s="109"/>
      <c r="O199" s="109"/>
      <c r="P199" s="109"/>
      <c r="Q199" s="109"/>
      <c r="R199" s="109"/>
      <c r="S199" s="109"/>
      <c r="T199" s="109"/>
      <c r="U199" s="109"/>
      <c r="Y199" s="109"/>
      <c r="Z199" s="109"/>
      <c r="AA199" s="109"/>
      <c r="AB199" s="109"/>
      <c r="AC199" s="109"/>
      <c r="AD199" s="109"/>
      <c r="AE199" s="109"/>
      <c r="AF199" s="109"/>
    </row>
    <row r="200" spans="1:32" ht="13.5" customHeight="1" x14ac:dyDescent="0.25">
      <c r="A200" s="109"/>
      <c r="B200" s="109"/>
      <c r="C200" s="109"/>
      <c r="D200" s="109"/>
      <c r="E200" s="109"/>
      <c r="F200" s="109"/>
      <c r="G200" s="109"/>
      <c r="H200" s="109"/>
      <c r="I200" s="109"/>
      <c r="J200" s="109"/>
      <c r="K200" s="109"/>
      <c r="L200" s="109"/>
      <c r="M200" s="109"/>
      <c r="N200" s="109"/>
      <c r="O200" s="109"/>
      <c r="P200" s="109"/>
      <c r="Q200" s="109"/>
      <c r="R200" s="109"/>
      <c r="S200" s="109"/>
      <c r="T200" s="109"/>
      <c r="U200" s="109"/>
      <c r="Y200" s="109"/>
      <c r="Z200" s="109"/>
      <c r="AA200" s="109"/>
      <c r="AB200" s="109"/>
      <c r="AC200" s="109"/>
      <c r="AD200" s="109"/>
      <c r="AE200" s="109"/>
      <c r="AF200" s="109"/>
    </row>
    <row r="201" spans="1:32" ht="13.5" customHeight="1" x14ac:dyDescent="0.25">
      <c r="A201" s="109"/>
      <c r="B201" s="109"/>
      <c r="C201" s="109"/>
      <c r="D201" s="109"/>
      <c r="E201" s="109"/>
      <c r="F201" s="109"/>
      <c r="G201" s="109"/>
      <c r="H201" s="109"/>
      <c r="I201" s="109"/>
      <c r="J201" s="109"/>
      <c r="K201" s="109"/>
      <c r="L201" s="109"/>
      <c r="M201" s="109"/>
      <c r="N201" s="109"/>
      <c r="O201" s="109"/>
      <c r="P201" s="109"/>
      <c r="Q201" s="109"/>
      <c r="R201" s="109"/>
      <c r="S201" s="109"/>
      <c r="T201" s="109"/>
      <c r="U201" s="109"/>
      <c r="Y201" s="109"/>
      <c r="Z201" s="109"/>
      <c r="AA201" s="109"/>
      <c r="AB201" s="109"/>
      <c r="AC201" s="109"/>
      <c r="AD201" s="109"/>
      <c r="AE201" s="109"/>
      <c r="AF201" s="109"/>
    </row>
    <row r="202" spans="1:32" ht="13.5" customHeight="1" x14ac:dyDescent="0.25">
      <c r="A202" s="109"/>
      <c r="B202" s="109"/>
      <c r="C202" s="109"/>
      <c r="D202" s="109"/>
      <c r="E202" s="109"/>
      <c r="F202" s="109"/>
      <c r="G202" s="109"/>
      <c r="H202" s="109"/>
      <c r="I202" s="109"/>
      <c r="J202" s="109"/>
      <c r="K202" s="109"/>
      <c r="L202" s="109"/>
      <c r="M202" s="109"/>
      <c r="N202" s="109"/>
      <c r="O202" s="109"/>
      <c r="P202" s="109"/>
      <c r="Q202" s="109"/>
      <c r="R202" s="109"/>
      <c r="S202" s="109"/>
      <c r="T202" s="109"/>
      <c r="U202" s="109"/>
      <c r="Y202" s="109"/>
      <c r="Z202" s="109"/>
      <c r="AA202" s="109"/>
      <c r="AB202" s="109"/>
      <c r="AC202" s="109"/>
      <c r="AD202" s="109"/>
      <c r="AE202" s="109"/>
      <c r="AF202" s="109"/>
    </row>
    <row r="203" spans="1:32" ht="13.5" customHeight="1" x14ac:dyDescent="0.25">
      <c r="A203" s="109"/>
      <c r="B203" s="109"/>
      <c r="C203" s="109"/>
      <c r="D203" s="109"/>
      <c r="E203" s="109"/>
      <c r="F203" s="109"/>
      <c r="G203" s="109"/>
      <c r="H203" s="109"/>
      <c r="I203" s="109"/>
      <c r="J203" s="109"/>
      <c r="K203" s="109"/>
      <c r="L203" s="109"/>
      <c r="M203" s="109"/>
      <c r="N203" s="109"/>
      <c r="O203" s="109"/>
      <c r="P203" s="109"/>
      <c r="Q203" s="109"/>
      <c r="R203" s="109"/>
      <c r="S203" s="109"/>
      <c r="T203" s="109"/>
      <c r="U203" s="109"/>
      <c r="Y203" s="109"/>
      <c r="Z203" s="109"/>
      <c r="AA203" s="109"/>
      <c r="AB203" s="109"/>
      <c r="AC203" s="109"/>
      <c r="AD203" s="109"/>
      <c r="AE203" s="109"/>
      <c r="AF203" s="109"/>
    </row>
    <row r="204" spans="1:32" ht="13.5" customHeight="1" x14ac:dyDescent="0.25">
      <c r="A204" s="109"/>
      <c r="B204" s="109"/>
      <c r="C204" s="109"/>
      <c r="D204" s="109"/>
      <c r="E204" s="109"/>
      <c r="F204" s="109"/>
      <c r="G204" s="109"/>
      <c r="H204" s="109"/>
      <c r="I204" s="109"/>
      <c r="J204" s="109"/>
      <c r="K204" s="109"/>
      <c r="L204" s="109"/>
      <c r="M204" s="109"/>
      <c r="N204" s="109"/>
      <c r="O204" s="109"/>
      <c r="P204" s="109"/>
      <c r="Q204" s="109"/>
      <c r="R204" s="109"/>
      <c r="S204" s="109"/>
      <c r="T204" s="109"/>
      <c r="U204" s="109"/>
      <c r="Y204" s="109"/>
      <c r="Z204" s="109"/>
      <c r="AA204" s="109"/>
      <c r="AB204" s="109"/>
      <c r="AC204" s="109"/>
      <c r="AD204" s="109"/>
      <c r="AE204" s="109"/>
      <c r="AF204" s="109"/>
    </row>
    <row r="205" spans="1:32" ht="13.5" customHeight="1" x14ac:dyDescent="0.25">
      <c r="A205" s="109"/>
      <c r="B205" s="109"/>
      <c r="C205" s="109"/>
      <c r="D205" s="109"/>
      <c r="E205" s="109"/>
      <c r="F205" s="109"/>
      <c r="G205" s="109"/>
      <c r="H205" s="109"/>
      <c r="I205" s="109"/>
      <c r="J205" s="109"/>
      <c r="K205" s="109"/>
      <c r="L205" s="109"/>
      <c r="M205" s="109"/>
      <c r="N205" s="109"/>
      <c r="O205" s="109"/>
      <c r="P205" s="109"/>
      <c r="Q205" s="109"/>
      <c r="R205" s="109"/>
      <c r="S205" s="109"/>
      <c r="T205" s="109"/>
      <c r="U205" s="109"/>
      <c r="Y205" s="109"/>
      <c r="Z205" s="109"/>
      <c r="AA205" s="109"/>
      <c r="AB205" s="109"/>
      <c r="AC205" s="109"/>
      <c r="AD205" s="109"/>
      <c r="AE205" s="109"/>
      <c r="AF205" s="109"/>
    </row>
    <row r="206" spans="1:32" ht="13.5" customHeight="1" x14ac:dyDescent="0.25">
      <c r="A206" s="109"/>
      <c r="B206" s="109"/>
      <c r="C206" s="109"/>
      <c r="D206" s="109"/>
      <c r="E206" s="109"/>
      <c r="F206" s="109"/>
      <c r="G206" s="109"/>
      <c r="H206" s="109"/>
      <c r="I206" s="109"/>
      <c r="J206" s="109"/>
      <c r="K206" s="109"/>
      <c r="L206" s="109"/>
      <c r="M206" s="109"/>
      <c r="N206" s="109"/>
      <c r="O206" s="109"/>
      <c r="P206" s="109"/>
      <c r="Q206" s="109"/>
      <c r="R206" s="109"/>
      <c r="S206" s="109"/>
      <c r="T206" s="109"/>
      <c r="U206" s="109"/>
      <c r="Y206" s="109"/>
      <c r="Z206" s="109"/>
      <c r="AA206" s="109"/>
      <c r="AB206" s="109"/>
      <c r="AC206" s="109"/>
      <c r="AD206" s="109"/>
      <c r="AE206" s="109"/>
      <c r="AF206" s="109"/>
    </row>
    <row r="207" spans="1:32" ht="13.5" customHeight="1" x14ac:dyDescent="0.25">
      <c r="A207" s="109"/>
      <c r="B207" s="109"/>
      <c r="C207" s="109"/>
      <c r="D207" s="109"/>
      <c r="E207" s="109"/>
      <c r="F207" s="109"/>
      <c r="G207" s="109"/>
      <c r="H207" s="109"/>
      <c r="I207" s="109"/>
      <c r="J207" s="109"/>
      <c r="K207" s="109"/>
      <c r="L207" s="109"/>
      <c r="M207" s="109"/>
      <c r="N207" s="109"/>
      <c r="O207" s="109"/>
      <c r="P207" s="109"/>
      <c r="Q207" s="109"/>
      <c r="R207" s="109"/>
      <c r="S207" s="109"/>
      <c r="T207" s="109"/>
      <c r="U207" s="109"/>
      <c r="Y207" s="109"/>
      <c r="Z207" s="109"/>
      <c r="AA207" s="109"/>
      <c r="AB207" s="109"/>
      <c r="AC207" s="109"/>
      <c r="AD207" s="109"/>
      <c r="AE207" s="109"/>
      <c r="AF207" s="109"/>
    </row>
    <row r="208" spans="1:32" ht="13.5" customHeight="1" x14ac:dyDescent="0.25">
      <c r="A208" s="109"/>
      <c r="B208" s="109"/>
      <c r="C208" s="109"/>
      <c r="D208" s="109"/>
      <c r="E208" s="109"/>
      <c r="F208" s="109"/>
      <c r="G208" s="109"/>
      <c r="H208" s="109"/>
      <c r="I208" s="109"/>
      <c r="J208" s="109"/>
      <c r="K208" s="109"/>
      <c r="L208" s="109"/>
      <c r="M208" s="109"/>
      <c r="N208" s="109"/>
      <c r="O208" s="109"/>
      <c r="P208" s="109"/>
      <c r="Q208" s="109"/>
      <c r="R208" s="109"/>
      <c r="S208" s="109"/>
      <c r="T208" s="109"/>
      <c r="U208" s="109"/>
      <c r="Y208" s="109"/>
      <c r="Z208" s="109"/>
      <c r="AA208" s="109"/>
      <c r="AB208" s="109"/>
      <c r="AC208" s="109"/>
      <c r="AD208" s="109"/>
      <c r="AE208" s="109"/>
      <c r="AF208" s="109"/>
    </row>
    <row r="209" spans="1:32" ht="13.5" customHeight="1" x14ac:dyDescent="0.25">
      <c r="A209" s="109"/>
      <c r="B209" s="109"/>
      <c r="C209" s="109"/>
      <c r="D209" s="109"/>
      <c r="E209" s="109"/>
      <c r="F209" s="109"/>
      <c r="G209" s="109"/>
      <c r="H209" s="109"/>
      <c r="I209" s="109"/>
      <c r="J209" s="109"/>
      <c r="K209" s="109"/>
      <c r="L209" s="109"/>
      <c r="M209" s="109"/>
      <c r="N209" s="109"/>
      <c r="O209" s="109"/>
      <c r="P209" s="109"/>
      <c r="Q209" s="109"/>
      <c r="R209" s="109"/>
      <c r="S209" s="109"/>
      <c r="T209" s="109"/>
      <c r="U209" s="109"/>
      <c r="Y209" s="109"/>
      <c r="Z209" s="109"/>
      <c r="AA209" s="109"/>
      <c r="AB209" s="109"/>
      <c r="AC209" s="109"/>
      <c r="AD209" s="109"/>
      <c r="AE209" s="109"/>
      <c r="AF209" s="109"/>
    </row>
    <row r="210" spans="1:32" ht="13.5" customHeight="1" x14ac:dyDescent="0.25">
      <c r="A210" s="109"/>
      <c r="B210" s="109"/>
      <c r="C210" s="109"/>
      <c r="D210" s="109"/>
      <c r="E210" s="109"/>
      <c r="F210" s="109"/>
      <c r="G210" s="109"/>
      <c r="H210" s="109"/>
      <c r="I210" s="109"/>
      <c r="J210" s="109"/>
      <c r="K210" s="109"/>
      <c r="L210" s="109"/>
      <c r="M210" s="109"/>
      <c r="N210" s="109"/>
      <c r="O210" s="109"/>
      <c r="P210" s="109"/>
      <c r="Q210" s="109"/>
      <c r="R210" s="109"/>
      <c r="S210" s="109"/>
      <c r="T210" s="109"/>
      <c r="U210" s="109"/>
      <c r="Y210" s="109"/>
      <c r="Z210" s="109"/>
      <c r="AA210" s="109"/>
      <c r="AB210" s="109"/>
      <c r="AC210" s="109"/>
      <c r="AD210" s="109"/>
      <c r="AE210" s="109"/>
      <c r="AF210" s="109"/>
    </row>
    <row r="211" spans="1:32" ht="13.5" customHeight="1" x14ac:dyDescent="0.25">
      <c r="A211" s="109"/>
      <c r="B211" s="109"/>
      <c r="C211" s="109"/>
      <c r="D211" s="109"/>
      <c r="E211" s="109"/>
      <c r="F211" s="109"/>
      <c r="G211" s="109"/>
      <c r="H211" s="109"/>
      <c r="I211" s="109"/>
      <c r="J211" s="109"/>
      <c r="K211" s="109"/>
      <c r="L211" s="109"/>
      <c r="M211" s="109"/>
      <c r="N211" s="109"/>
      <c r="O211" s="109"/>
      <c r="P211" s="109"/>
      <c r="Q211" s="109"/>
      <c r="R211" s="109"/>
      <c r="S211" s="109"/>
      <c r="T211" s="109"/>
      <c r="U211" s="109"/>
      <c r="Y211" s="109"/>
      <c r="Z211" s="109"/>
      <c r="AA211" s="109"/>
      <c r="AB211" s="109"/>
      <c r="AC211" s="109"/>
      <c r="AD211" s="109"/>
      <c r="AE211" s="109"/>
      <c r="AF211" s="109"/>
    </row>
    <row r="212" spans="1:32" ht="13.5" customHeight="1" x14ac:dyDescent="0.25">
      <c r="A212" s="109"/>
      <c r="B212" s="109"/>
      <c r="C212" s="109"/>
      <c r="D212" s="109"/>
      <c r="E212" s="109"/>
      <c r="F212" s="109"/>
      <c r="G212" s="109"/>
      <c r="H212" s="109"/>
      <c r="I212" s="109"/>
      <c r="J212" s="109"/>
      <c r="K212" s="109"/>
      <c r="L212" s="109"/>
      <c r="M212" s="109"/>
      <c r="N212" s="109"/>
      <c r="O212" s="109"/>
      <c r="P212" s="109"/>
      <c r="Q212" s="109"/>
      <c r="R212" s="109"/>
      <c r="S212" s="109"/>
      <c r="T212" s="109"/>
      <c r="U212" s="109"/>
      <c r="Y212" s="109"/>
      <c r="Z212" s="109"/>
      <c r="AA212" s="109"/>
      <c r="AB212" s="109"/>
      <c r="AC212" s="109"/>
      <c r="AD212" s="109"/>
      <c r="AE212" s="109"/>
      <c r="AF212" s="109"/>
    </row>
    <row r="213" spans="1:32" ht="13.5" customHeight="1" x14ac:dyDescent="0.25">
      <c r="A213" s="109"/>
      <c r="B213" s="109"/>
      <c r="C213" s="109"/>
      <c r="D213" s="109"/>
      <c r="E213" s="109"/>
      <c r="F213" s="109"/>
      <c r="G213" s="109"/>
      <c r="H213" s="109"/>
      <c r="I213" s="109"/>
      <c r="J213" s="109"/>
      <c r="K213" s="109"/>
      <c r="L213" s="109"/>
      <c r="M213" s="109"/>
      <c r="N213" s="109"/>
      <c r="O213" s="109"/>
      <c r="P213" s="109"/>
      <c r="Q213" s="109"/>
      <c r="R213" s="109"/>
      <c r="S213" s="109"/>
      <c r="T213" s="109"/>
      <c r="U213" s="109"/>
      <c r="Y213" s="109"/>
      <c r="Z213" s="109"/>
      <c r="AA213" s="109"/>
      <c r="AB213" s="109"/>
      <c r="AC213" s="109"/>
      <c r="AD213" s="109"/>
      <c r="AE213" s="109"/>
      <c r="AF213" s="109"/>
    </row>
    <row r="214" spans="1:32" ht="13.5" customHeight="1" x14ac:dyDescent="0.25">
      <c r="A214" s="109"/>
      <c r="B214" s="109"/>
      <c r="C214" s="109"/>
      <c r="D214" s="109"/>
      <c r="E214" s="109"/>
      <c r="F214" s="109"/>
      <c r="G214" s="109"/>
      <c r="H214" s="109"/>
      <c r="I214" s="109"/>
      <c r="J214" s="109"/>
      <c r="K214" s="109"/>
      <c r="L214" s="109"/>
      <c r="M214" s="109"/>
      <c r="N214" s="109"/>
      <c r="O214" s="109"/>
      <c r="P214" s="109"/>
      <c r="Q214" s="109"/>
      <c r="R214" s="109"/>
      <c r="S214" s="109"/>
      <c r="T214" s="109"/>
      <c r="U214" s="109"/>
      <c r="Y214" s="109"/>
      <c r="Z214" s="109"/>
      <c r="AA214" s="109"/>
      <c r="AB214" s="109"/>
      <c r="AC214" s="109"/>
      <c r="AD214" s="109"/>
      <c r="AE214" s="109"/>
      <c r="AF214" s="109"/>
    </row>
    <row r="215" spans="1:32" ht="13.5" customHeight="1" x14ac:dyDescent="0.25">
      <c r="A215" s="109"/>
      <c r="B215" s="109"/>
      <c r="C215" s="109"/>
      <c r="D215" s="109"/>
      <c r="E215" s="109"/>
      <c r="F215" s="109"/>
      <c r="G215" s="109"/>
      <c r="H215" s="109"/>
      <c r="I215" s="109"/>
      <c r="J215" s="109"/>
      <c r="K215" s="109"/>
      <c r="L215" s="109"/>
      <c r="M215" s="109"/>
      <c r="N215" s="109"/>
      <c r="O215" s="109"/>
      <c r="P215" s="109"/>
      <c r="Q215" s="109"/>
      <c r="R215" s="109"/>
      <c r="S215" s="109"/>
      <c r="T215" s="109"/>
      <c r="U215" s="109"/>
      <c r="Y215" s="109"/>
      <c r="Z215" s="109"/>
      <c r="AA215" s="109"/>
      <c r="AB215" s="109"/>
      <c r="AC215" s="109"/>
      <c r="AD215" s="109"/>
      <c r="AE215" s="109"/>
      <c r="AF215" s="109"/>
    </row>
    <row r="216" spans="1:32" ht="13.5" customHeight="1" x14ac:dyDescent="0.25">
      <c r="A216" s="109"/>
      <c r="B216" s="109"/>
      <c r="C216" s="109"/>
      <c r="D216" s="109"/>
      <c r="E216" s="109"/>
      <c r="F216" s="109"/>
      <c r="G216" s="109"/>
      <c r="H216" s="109"/>
      <c r="I216" s="109"/>
      <c r="J216" s="109"/>
      <c r="K216" s="109"/>
      <c r="L216" s="109"/>
      <c r="M216" s="109"/>
      <c r="N216" s="109"/>
      <c r="O216" s="109"/>
      <c r="P216" s="109"/>
      <c r="Q216" s="109"/>
      <c r="R216" s="109"/>
      <c r="S216" s="109"/>
      <c r="T216" s="109"/>
      <c r="U216" s="109"/>
      <c r="Y216" s="109"/>
      <c r="Z216" s="109"/>
      <c r="AA216" s="109"/>
      <c r="AB216" s="109"/>
      <c r="AC216" s="109"/>
      <c r="AD216" s="109"/>
      <c r="AE216" s="109"/>
      <c r="AF216" s="109"/>
    </row>
    <row r="217" spans="1:32" ht="13.5" customHeight="1" x14ac:dyDescent="0.25">
      <c r="A217" s="109"/>
      <c r="B217" s="109"/>
      <c r="C217" s="109"/>
      <c r="D217" s="109"/>
      <c r="E217" s="109"/>
      <c r="F217" s="109"/>
      <c r="G217" s="109"/>
      <c r="H217" s="109"/>
      <c r="I217" s="109"/>
      <c r="J217" s="109"/>
      <c r="K217" s="109"/>
      <c r="L217" s="109"/>
      <c r="M217" s="109"/>
      <c r="N217" s="109"/>
      <c r="O217" s="109"/>
      <c r="P217" s="109"/>
      <c r="Q217" s="109"/>
      <c r="R217" s="109"/>
      <c r="S217" s="109"/>
      <c r="T217" s="109"/>
      <c r="U217" s="109"/>
      <c r="Y217" s="109"/>
      <c r="Z217" s="109"/>
      <c r="AA217" s="109"/>
      <c r="AB217" s="109"/>
      <c r="AC217" s="109"/>
      <c r="AD217" s="109"/>
      <c r="AE217" s="109"/>
      <c r="AF217" s="109"/>
    </row>
    <row r="218" spans="1:32" ht="13.5" customHeight="1" x14ac:dyDescent="0.25">
      <c r="A218" s="109"/>
      <c r="B218" s="109"/>
      <c r="C218" s="109"/>
      <c r="D218" s="109"/>
      <c r="E218" s="109"/>
      <c r="F218" s="109"/>
      <c r="G218" s="109"/>
      <c r="H218" s="109"/>
      <c r="I218" s="109"/>
      <c r="J218" s="109"/>
      <c r="K218" s="109"/>
      <c r="L218" s="109"/>
      <c r="M218" s="109"/>
      <c r="N218" s="109"/>
      <c r="O218" s="109"/>
      <c r="P218" s="109"/>
      <c r="Q218" s="109"/>
      <c r="R218" s="109"/>
      <c r="S218" s="109"/>
      <c r="T218" s="109"/>
      <c r="U218" s="109"/>
      <c r="Y218" s="109"/>
      <c r="Z218" s="109"/>
      <c r="AA218" s="109"/>
      <c r="AB218" s="109"/>
      <c r="AC218" s="109"/>
      <c r="AD218" s="109"/>
      <c r="AE218" s="109"/>
      <c r="AF218" s="109"/>
    </row>
    <row r="219" spans="1:32" ht="13.5" customHeight="1" x14ac:dyDescent="0.25">
      <c r="A219" s="109"/>
      <c r="B219" s="109"/>
      <c r="C219" s="109"/>
      <c r="D219" s="109"/>
      <c r="E219" s="109"/>
      <c r="F219" s="109"/>
      <c r="G219" s="109"/>
      <c r="H219" s="109"/>
      <c r="I219" s="109"/>
      <c r="J219" s="109"/>
      <c r="K219" s="109"/>
      <c r="L219" s="109"/>
      <c r="M219" s="109"/>
      <c r="N219" s="109"/>
      <c r="O219" s="109"/>
      <c r="P219" s="109"/>
      <c r="Q219" s="109"/>
      <c r="R219" s="109"/>
      <c r="S219" s="109"/>
      <c r="T219" s="109"/>
      <c r="U219" s="109"/>
      <c r="Y219" s="109"/>
      <c r="Z219" s="109"/>
      <c r="AA219" s="109"/>
      <c r="AB219" s="109"/>
      <c r="AC219" s="109"/>
      <c r="AD219" s="109"/>
      <c r="AE219" s="109"/>
      <c r="AF219" s="109"/>
    </row>
    <row r="220" spans="1:32" ht="13.5" customHeight="1" x14ac:dyDescent="0.25">
      <c r="A220" s="109"/>
      <c r="B220" s="109"/>
      <c r="C220" s="109"/>
      <c r="D220" s="109"/>
      <c r="E220" s="109"/>
      <c r="F220" s="109"/>
      <c r="G220" s="109"/>
      <c r="H220" s="109"/>
      <c r="I220" s="109"/>
      <c r="J220" s="109"/>
      <c r="K220" s="109"/>
      <c r="L220" s="109"/>
      <c r="M220" s="109"/>
      <c r="N220" s="109"/>
      <c r="O220" s="109"/>
      <c r="P220" s="109"/>
      <c r="Q220" s="109"/>
      <c r="R220" s="109"/>
      <c r="S220" s="109"/>
      <c r="T220" s="109"/>
      <c r="U220" s="109"/>
      <c r="Y220" s="109"/>
      <c r="Z220" s="109"/>
      <c r="AA220" s="109"/>
      <c r="AB220" s="109"/>
      <c r="AC220" s="109"/>
      <c r="AD220" s="109"/>
      <c r="AE220" s="109"/>
      <c r="AF220" s="109"/>
    </row>
    <row r="221" spans="1:32" ht="13.5" customHeight="1" x14ac:dyDescent="0.25">
      <c r="A221" s="109"/>
      <c r="B221" s="109"/>
      <c r="C221" s="109"/>
      <c r="D221" s="109"/>
      <c r="E221" s="109"/>
      <c r="F221" s="109"/>
      <c r="G221" s="109"/>
      <c r="H221" s="109"/>
      <c r="I221" s="109"/>
      <c r="J221" s="109"/>
      <c r="K221" s="109"/>
      <c r="L221" s="109"/>
      <c r="M221" s="109"/>
      <c r="N221" s="109"/>
      <c r="O221" s="109"/>
      <c r="P221" s="109"/>
      <c r="Q221" s="109"/>
      <c r="R221" s="109"/>
      <c r="S221" s="109"/>
      <c r="T221" s="109"/>
      <c r="U221" s="109"/>
      <c r="Y221" s="109"/>
      <c r="Z221" s="109"/>
      <c r="AA221" s="109"/>
      <c r="AB221" s="109"/>
      <c r="AC221" s="109"/>
      <c r="AD221" s="109"/>
      <c r="AE221" s="109"/>
      <c r="AF221" s="109"/>
    </row>
    <row r="222" spans="1:32" ht="13.5" customHeight="1" x14ac:dyDescent="0.25">
      <c r="A222" s="109"/>
      <c r="B222" s="109"/>
      <c r="C222" s="109"/>
      <c r="D222" s="109"/>
      <c r="E222" s="109"/>
      <c r="F222" s="109"/>
      <c r="G222" s="109"/>
      <c r="H222" s="109"/>
      <c r="I222" s="109"/>
      <c r="J222" s="109"/>
      <c r="K222" s="109"/>
      <c r="L222" s="109"/>
      <c r="M222" s="109"/>
      <c r="N222" s="109"/>
      <c r="O222" s="109"/>
      <c r="P222" s="109"/>
      <c r="Q222" s="109"/>
      <c r="R222" s="109"/>
      <c r="S222" s="109"/>
      <c r="T222" s="109"/>
      <c r="U222" s="109"/>
      <c r="Y222" s="109"/>
      <c r="Z222" s="109"/>
      <c r="AA222" s="109"/>
      <c r="AB222" s="109"/>
      <c r="AC222" s="109"/>
      <c r="AD222" s="109"/>
      <c r="AE222" s="109"/>
      <c r="AF222" s="109"/>
    </row>
    <row r="223" spans="1:32" ht="13.5" customHeight="1" x14ac:dyDescent="0.25">
      <c r="A223" s="109"/>
      <c r="B223" s="109"/>
      <c r="C223" s="109"/>
      <c r="D223" s="109"/>
      <c r="E223" s="109"/>
      <c r="F223" s="109"/>
      <c r="G223" s="109"/>
      <c r="H223" s="109"/>
      <c r="I223" s="109"/>
      <c r="J223" s="109"/>
      <c r="K223" s="109"/>
      <c r="L223" s="109"/>
      <c r="M223" s="109"/>
      <c r="N223" s="109"/>
      <c r="O223" s="109"/>
      <c r="P223" s="109"/>
      <c r="Q223" s="109"/>
      <c r="R223" s="109"/>
      <c r="S223" s="109"/>
      <c r="T223" s="109"/>
      <c r="U223" s="109"/>
      <c r="Y223" s="109"/>
      <c r="Z223" s="109"/>
      <c r="AA223" s="109"/>
      <c r="AB223" s="109"/>
      <c r="AC223" s="109"/>
      <c r="AD223" s="109"/>
      <c r="AE223" s="109"/>
      <c r="AF223" s="109"/>
    </row>
    <row r="224" spans="1:32" ht="13.5" customHeight="1" x14ac:dyDescent="0.25">
      <c r="A224" s="109"/>
      <c r="B224" s="109"/>
      <c r="C224" s="109"/>
      <c r="D224" s="109"/>
      <c r="E224" s="109"/>
      <c r="F224" s="109"/>
      <c r="G224" s="109"/>
      <c r="H224" s="109"/>
      <c r="I224" s="109"/>
      <c r="J224" s="109"/>
      <c r="K224" s="109"/>
      <c r="L224" s="109"/>
      <c r="M224" s="109"/>
      <c r="N224" s="109"/>
      <c r="O224" s="109"/>
      <c r="P224" s="109"/>
      <c r="Q224" s="109"/>
      <c r="R224" s="109"/>
      <c r="S224" s="109"/>
      <c r="T224" s="109"/>
      <c r="U224" s="109"/>
      <c r="Y224" s="109"/>
      <c r="Z224" s="109"/>
      <c r="AA224" s="109"/>
      <c r="AB224" s="109"/>
      <c r="AC224" s="109"/>
      <c r="AD224" s="109"/>
      <c r="AE224" s="109"/>
      <c r="AF224" s="109"/>
    </row>
    <row r="225" spans="1:32" ht="13.5" customHeight="1" x14ac:dyDescent="0.25">
      <c r="A225" s="109"/>
      <c r="B225" s="109"/>
      <c r="C225" s="109"/>
      <c r="D225" s="109"/>
      <c r="E225" s="109"/>
      <c r="F225" s="109"/>
      <c r="G225" s="109"/>
      <c r="H225" s="109"/>
      <c r="I225" s="109"/>
      <c r="J225" s="109"/>
      <c r="K225" s="109"/>
      <c r="L225" s="109"/>
      <c r="M225" s="109"/>
      <c r="N225" s="109"/>
      <c r="O225" s="109"/>
      <c r="P225" s="109"/>
      <c r="Q225" s="109"/>
      <c r="R225" s="109"/>
      <c r="S225" s="109"/>
      <c r="T225" s="109"/>
      <c r="U225" s="109"/>
      <c r="Y225" s="109"/>
      <c r="Z225" s="109"/>
      <c r="AA225" s="109"/>
      <c r="AB225" s="109"/>
      <c r="AC225" s="109"/>
      <c r="AD225" s="109"/>
      <c r="AE225" s="109"/>
      <c r="AF225" s="109"/>
    </row>
    <row r="226" spans="1:32" ht="13.5" customHeight="1" x14ac:dyDescent="0.25">
      <c r="A226" s="109"/>
      <c r="B226" s="109"/>
      <c r="C226" s="109"/>
      <c r="D226" s="109"/>
      <c r="E226" s="109"/>
      <c r="F226" s="109"/>
      <c r="G226" s="109"/>
      <c r="H226" s="109"/>
      <c r="I226" s="109"/>
      <c r="J226" s="109"/>
      <c r="K226" s="109"/>
      <c r="L226" s="109"/>
      <c r="M226" s="109"/>
      <c r="N226" s="109"/>
      <c r="O226" s="109"/>
      <c r="P226" s="109"/>
      <c r="Q226" s="109"/>
      <c r="R226" s="109"/>
      <c r="S226" s="109"/>
      <c r="T226" s="109"/>
      <c r="U226" s="109"/>
      <c r="Y226" s="109"/>
      <c r="Z226" s="109"/>
      <c r="AA226" s="109"/>
      <c r="AB226" s="109"/>
      <c r="AC226" s="109"/>
      <c r="AD226" s="109"/>
      <c r="AE226" s="109"/>
      <c r="AF226" s="109"/>
    </row>
    <row r="227" spans="1:32" ht="13.5" customHeight="1" x14ac:dyDescent="0.25">
      <c r="A227" s="109"/>
      <c r="B227" s="109"/>
      <c r="C227" s="109"/>
      <c r="D227" s="109"/>
      <c r="E227" s="109"/>
      <c r="F227" s="109"/>
      <c r="G227" s="109"/>
      <c r="H227" s="109"/>
      <c r="I227" s="109"/>
      <c r="J227" s="109"/>
      <c r="K227" s="109"/>
      <c r="L227" s="109"/>
      <c r="M227" s="109"/>
      <c r="N227" s="109"/>
      <c r="O227" s="109"/>
      <c r="P227" s="109"/>
      <c r="Q227" s="109"/>
      <c r="R227" s="109"/>
      <c r="S227" s="109"/>
      <c r="T227" s="109"/>
      <c r="U227" s="109"/>
      <c r="Y227" s="109"/>
      <c r="Z227" s="109"/>
      <c r="AA227" s="109"/>
      <c r="AB227" s="109"/>
      <c r="AC227" s="109"/>
      <c r="AD227" s="109"/>
      <c r="AE227" s="109"/>
      <c r="AF227" s="109"/>
    </row>
    <row r="228" spans="1:32" ht="13.5" customHeight="1" x14ac:dyDescent="0.25">
      <c r="A228" s="109"/>
      <c r="B228" s="109"/>
      <c r="C228" s="109"/>
      <c r="D228" s="109"/>
      <c r="E228" s="109"/>
      <c r="F228" s="109"/>
      <c r="G228" s="109"/>
      <c r="H228" s="109"/>
      <c r="I228" s="109"/>
      <c r="J228" s="109"/>
      <c r="K228" s="109"/>
      <c r="L228" s="109"/>
      <c r="M228" s="109"/>
      <c r="N228" s="109"/>
      <c r="O228" s="109"/>
      <c r="P228" s="109"/>
      <c r="Q228" s="109"/>
      <c r="R228" s="109"/>
      <c r="S228" s="109"/>
      <c r="T228" s="109"/>
      <c r="U228" s="109"/>
      <c r="Y228" s="109"/>
      <c r="Z228" s="109"/>
      <c r="AA228" s="109"/>
      <c r="AB228" s="109"/>
      <c r="AC228" s="109"/>
      <c r="AD228" s="109"/>
      <c r="AE228" s="109"/>
      <c r="AF228" s="109"/>
    </row>
    <row r="229" spans="1:32" ht="13.5" customHeight="1" x14ac:dyDescent="0.25">
      <c r="A229" s="109"/>
      <c r="B229" s="109"/>
      <c r="C229" s="109"/>
      <c r="D229" s="109"/>
      <c r="E229" s="109"/>
      <c r="F229" s="109"/>
      <c r="G229" s="109"/>
      <c r="H229" s="109"/>
      <c r="I229" s="109"/>
      <c r="J229" s="109"/>
      <c r="K229" s="109"/>
      <c r="L229" s="109"/>
      <c r="M229" s="109"/>
      <c r="N229" s="109"/>
      <c r="O229" s="109"/>
      <c r="P229" s="109"/>
      <c r="Q229" s="109"/>
      <c r="R229" s="109"/>
      <c r="S229" s="109"/>
      <c r="T229" s="109"/>
      <c r="U229" s="109"/>
      <c r="Y229" s="109"/>
      <c r="Z229" s="109"/>
      <c r="AA229" s="109"/>
      <c r="AB229" s="109"/>
      <c r="AC229" s="109"/>
      <c r="AD229" s="109"/>
      <c r="AE229" s="109"/>
      <c r="AF229" s="109"/>
    </row>
    <row r="230" spans="1:32" ht="13.5" customHeight="1" x14ac:dyDescent="0.25">
      <c r="A230" s="109"/>
      <c r="B230" s="109"/>
      <c r="C230" s="109"/>
      <c r="D230" s="109"/>
      <c r="E230" s="109"/>
      <c r="F230" s="109"/>
      <c r="G230" s="109"/>
      <c r="H230" s="109"/>
      <c r="I230" s="109"/>
      <c r="J230" s="109"/>
      <c r="K230" s="109"/>
      <c r="L230" s="109"/>
      <c r="M230" s="109"/>
      <c r="N230" s="109"/>
      <c r="O230" s="109"/>
      <c r="P230" s="109"/>
      <c r="Q230" s="109"/>
      <c r="R230" s="109"/>
      <c r="S230" s="109"/>
      <c r="T230" s="109"/>
      <c r="U230" s="109"/>
      <c r="Y230" s="109"/>
      <c r="Z230" s="109"/>
      <c r="AA230" s="109"/>
      <c r="AB230" s="109"/>
      <c r="AC230" s="109"/>
      <c r="AD230" s="109"/>
      <c r="AE230" s="109"/>
      <c r="AF230" s="109"/>
    </row>
    <row r="231" spans="1:32" ht="13.5" customHeight="1" x14ac:dyDescent="0.25">
      <c r="A231" s="109"/>
      <c r="B231" s="109"/>
      <c r="C231" s="109"/>
      <c r="D231" s="109"/>
      <c r="E231" s="109"/>
      <c r="F231" s="109"/>
      <c r="G231" s="109"/>
      <c r="H231" s="109"/>
      <c r="I231" s="109"/>
      <c r="J231" s="109"/>
      <c r="K231" s="109"/>
      <c r="L231" s="109"/>
      <c r="M231" s="109"/>
      <c r="N231" s="109"/>
      <c r="O231" s="109"/>
      <c r="P231" s="109"/>
      <c r="Q231" s="109"/>
      <c r="R231" s="109"/>
      <c r="S231" s="109"/>
      <c r="T231" s="109"/>
      <c r="U231" s="109"/>
      <c r="Y231" s="109"/>
      <c r="Z231" s="109"/>
      <c r="AA231" s="109"/>
      <c r="AB231" s="109"/>
      <c r="AC231" s="109"/>
      <c r="AD231" s="109"/>
      <c r="AE231" s="109"/>
      <c r="AF231" s="109"/>
    </row>
    <row r="232" spans="1:32" ht="13.5" customHeight="1" x14ac:dyDescent="0.25">
      <c r="A232" s="109"/>
      <c r="B232" s="109"/>
      <c r="C232" s="109"/>
      <c r="D232" s="109"/>
      <c r="E232" s="109"/>
      <c r="F232" s="109"/>
      <c r="G232" s="109"/>
      <c r="H232" s="109"/>
      <c r="I232" s="109"/>
      <c r="J232" s="109"/>
      <c r="K232" s="109"/>
      <c r="L232" s="109"/>
      <c r="M232" s="109"/>
      <c r="N232" s="109"/>
      <c r="O232" s="109"/>
      <c r="P232" s="109"/>
      <c r="Q232" s="109"/>
      <c r="R232" s="109"/>
      <c r="S232" s="109"/>
      <c r="T232" s="109"/>
      <c r="U232" s="109"/>
      <c r="Y232" s="109"/>
      <c r="Z232" s="109"/>
      <c r="AA232" s="109"/>
      <c r="AB232" s="109"/>
      <c r="AC232" s="109"/>
      <c r="AD232" s="109"/>
      <c r="AE232" s="109"/>
      <c r="AF232" s="109"/>
    </row>
    <row r="233" spans="1:32" ht="13.5" customHeight="1" x14ac:dyDescent="0.25">
      <c r="A233" s="109"/>
      <c r="B233" s="109"/>
      <c r="C233" s="109"/>
      <c r="D233" s="109"/>
      <c r="E233" s="109"/>
      <c r="F233" s="109"/>
      <c r="G233" s="109"/>
      <c r="H233" s="109"/>
      <c r="I233" s="109"/>
      <c r="J233" s="109"/>
      <c r="K233" s="109"/>
      <c r="L233" s="109"/>
      <c r="M233" s="109"/>
      <c r="N233" s="109"/>
      <c r="O233" s="109"/>
      <c r="P233" s="109"/>
      <c r="Q233" s="109"/>
      <c r="R233" s="109"/>
      <c r="S233" s="109"/>
      <c r="T233" s="109"/>
      <c r="U233" s="109"/>
      <c r="Y233" s="109"/>
      <c r="Z233" s="109"/>
      <c r="AA233" s="109"/>
      <c r="AB233" s="109"/>
      <c r="AC233" s="109"/>
      <c r="AD233" s="109"/>
      <c r="AE233" s="109"/>
      <c r="AF233" s="109"/>
    </row>
    <row r="234" spans="1:32" ht="13.5" customHeight="1" x14ac:dyDescent="0.25">
      <c r="A234" s="109"/>
      <c r="B234" s="109"/>
      <c r="C234" s="109"/>
      <c r="D234" s="109"/>
      <c r="E234" s="109"/>
      <c r="F234" s="109"/>
      <c r="G234" s="109"/>
      <c r="H234" s="109"/>
      <c r="I234" s="109"/>
      <c r="J234" s="109"/>
      <c r="K234" s="109"/>
      <c r="L234" s="109"/>
      <c r="M234" s="109"/>
      <c r="N234" s="109"/>
      <c r="O234" s="109"/>
      <c r="P234" s="109"/>
      <c r="Q234" s="109"/>
      <c r="R234" s="109"/>
      <c r="S234" s="109"/>
      <c r="T234" s="109"/>
      <c r="U234" s="109"/>
      <c r="Y234" s="109"/>
      <c r="Z234" s="109"/>
      <c r="AA234" s="109"/>
      <c r="AB234" s="109"/>
      <c r="AC234" s="109"/>
      <c r="AD234" s="109"/>
      <c r="AE234" s="109"/>
      <c r="AF234" s="109"/>
    </row>
    <row r="235" spans="1:32" ht="13.5" customHeight="1" x14ac:dyDescent="0.25">
      <c r="A235" s="109"/>
      <c r="B235" s="109"/>
      <c r="C235" s="109"/>
      <c r="D235" s="109"/>
      <c r="E235" s="109"/>
      <c r="F235" s="109"/>
      <c r="G235" s="109"/>
      <c r="H235" s="109"/>
      <c r="I235" s="109"/>
      <c r="J235" s="109"/>
      <c r="K235" s="109"/>
      <c r="L235" s="109"/>
      <c r="M235" s="109"/>
      <c r="N235" s="109"/>
      <c r="O235" s="109"/>
      <c r="P235" s="109"/>
      <c r="Q235" s="109"/>
      <c r="R235" s="109"/>
      <c r="S235" s="109"/>
      <c r="T235" s="109"/>
      <c r="U235" s="109"/>
      <c r="Y235" s="109"/>
      <c r="Z235" s="109"/>
      <c r="AA235" s="109"/>
      <c r="AB235" s="109"/>
      <c r="AC235" s="109"/>
      <c r="AD235" s="109"/>
      <c r="AE235" s="109"/>
      <c r="AF235" s="109"/>
    </row>
    <row r="236" spans="1:32" ht="13.5" customHeight="1" x14ac:dyDescent="0.25">
      <c r="A236" s="109"/>
      <c r="B236" s="109"/>
      <c r="C236" s="109"/>
      <c r="D236" s="109"/>
      <c r="E236" s="109"/>
      <c r="F236" s="109"/>
      <c r="G236" s="109"/>
      <c r="H236" s="109"/>
      <c r="I236" s="109"/>
      <c r="J236" s="109"/>
      <c r="K236" s="109"/>
      <c r="L236" s="109"/>
      <c r="M236" s="109"/>
      <c r="N236" s="109"/>
      <c r="O236" s="109"/>
      <c r="P236" s="109"/>
      <c r="Q236" s="109"/>
      <c r="R236" s="109"/>
      <c r="S236" s="109"/>
      <c r="T236" s="109"/>
      <c r="U236" s="109"/>
      <c r="Y236" s="109"/>
      <c r="Z236" s="109"/>
      <c r="AA236" s="109"/>
      <c r="AB236" s="109"/>
      <c r="AC236" s="109"/>
      <c r="AD236" s="109"/>
      <c r="AE236" s="109"/>
      <c r="AF236" s="109"/>
    </row>
    <row r="237" spans="1:32" ht="13.5" customHeight="1" x14ac:dyDescent="0.25">
      <c r="A237" s="109"/>
      <c r="B237" s="109"/>
      <c r="C237" s="109"/>
      <c r="D237" s="109"/>
      <c r="E237" s="109"/>
      <c r="F237" s="109"/>
      <c r="G237" s="109"/>
      <c r="H237" s="109"/>
      <c r="I237" s="109"/>
      <c r="J237" s="109"/>
      <c r="K237" s="109"/>
      <c r="L237" s="109"/>
      <c r="M237" s="109"/>
      <c r="N237" s="109"/>
      <c r="O237" s="109"/>
      <c r="P237" s="109"/>
      <c r="Q237" s="109"/>
      <c r="R237" s="109"/>
      <c r="S237" s="109"/>
      <c r="T237" s="109"/>
      <c r="U237" s="109"/>
      <c r="Y237" s="109"/>
      <c r="Z237" s="109"/>
      <c r="AA237" s="109"/>
      <c r="AB237" s="109"/>
      <c r="AC237" s="109"/>
      <c r="AD237" s="109"/>
      <c r="AE237" s="109"/>
      <c r="AF237" s="109"/>
    </row>
    <row r="238" spans="1:32" ht="13.5" customHeight="1" x14ac:dyDescent="0.25">
      <c r="A238" s="109"/>
      <c r="B238" s="109"/>
      <c r="C238" s="109"/>
      <c r="D238" s="109"/>
      <c r="E238" s="109"/>
      <c r="F238" s="109"/>
      <c r="G238" s="109"/>
      <c r="H238" s="109"/>
      <c r="I238" s="109"/>
      <c r="J238" s="109"/>
      <c r="K238" s="109"/>
      <c r="L238" s="109"/>
      <c r="M238" s="109"/>
      <c r="N238" s="109"/>
      <c r="O238" s="109"/>
      <c r="P238" s="109"/>
      <c r="Q238" s="109"/>
      <c r="R238" s="109"/>
      <c r="S238" s="109"/>
      <c r="T238" s="109"/>
      <c r="U238" s="109"/>
      <c r="Y238" s="109"/>
      <c r="Z238" s="109"/>
      <c r="AA238" s="109"/>
      <c r="AB238" s="109"/>
      <c r="AC238" s="109"/>
      <c r="AD238" s="109"/>
      <c r="AE238" s="109"/>
      <c r="AF238" s="109"/>
    </row>
    <row r="239" spans="1:32" ht="13.5" customHeight="1" x14ac:dyDescent="0.25">
      <c r="A239" s="109"/>
      <c r="B239" s="109"/>
      <c r="C239" s="109"/>
      <c r="D239" s="109"/>
      <c r="E239" s="109"/>
      <c r="F239" s="109"/>
      <c r="G239" s="109"/>
      <c r="H239" s="109"/>
      <c r="I239" s="109"/>
      <c r="J239" s="109"/>
      <c r="K239" s="109"/>
      <c r="L239" s="109"/>
      <c r="M239" s="109"/>
      <c r="N239" s="109"/>
      <c r="O239" s="109"/>
      <c r="P239" s="109"/>
      <c r="Q239" s="109"/>
      <c r="R239" s="109"/>
      <c r="S239" s="109"/>
      <c r="T239" s="109"/>
      <c r="U239" s="109"/>
      <c r="Y239" s="109"/>
      <c r="Z239" s="109"/>
      <c r="AA239" s="109"/>
      <c r="AB239" s="109"/>
      <c r="AC239" s="109"/>
      <c r="AD239" s="109"/>
      <c r="AE239" s="109"/>
      <c r="AF239" s="109"/>
    </row>
    <row r="240" spans="1:32" ht="13.5" customHeight="1" x14ac:dyDescent="0.25">
      <c r="A240" s="109"/>
      <c r="B240" s="109"/>
      <c r="C240" s="109"/>
      <c r="D240" s="109"/>
      <c r="E240" s="109"/>
      <c r="F240" s="109"/>
      <c r="G240" s="109"/>
      <c r="H240" s="109"/>
      <c r="I240" s="109"/>
      <c r="J240" s="109"/>
      <c r="K240" s="109"/>
      <c r="L240" s="109"/>
      <c r="M240" s="109"/>
      <c r="N240" s="109"/>
      <c r="O240" s="109"/>
      <c r="P240" s="109"/>
      <c r="Q240" s="109"/>
      <c r="R240" s="109"/>
      <c r="S240" s="109"/>
      <c r="T240" s="109"/>
      <c r="U240" s="109"/>
      <c r="Y240" s="109"/>
      <c r="Z240" s="109"/>
      <c r="AA240" s="109"/>
      <c r="AB240" s="109"/>
      <c r="AC240" s="109"/>
      <c r="AD240" s="109"/>
      <c r="AE240" s="109"/>
      <c r="AF240" s="109"/>
    </row>
    <row r="241" spans="1:32" ht="13.5" customHeight="1" x14ac:dyDescent="0.25">
      <c r="A241" s="109"/>
      <c r="B241" s="109"/>
      <c r="C241" s="109"/>
      <c r="D241" s="109"/>
      <c r="E241" s="109"/>
      <c r="F241" s="109"/>
      <c r="G241" s="109"/>
      <c r="H241" s="109"/>
      <c r="I241" s="109"/>
      <c r="J241" s="109"/>
      <c r="K241" s="109"/>
      <c r="L241" s="109"/>
      <c r="M241" s="109"/>
      <c r="N241" s="109"/>
      <c r="O241" s="109"/>
      <c r="P241" s="109"/>
      <c r="Q241" s="109"/>
      <c r="R241" s="109"/>
      <c r="S241" s="109"/>
      <c r="T241" s="109"/>
      <c r="U241" s="109"/>
      <c r="Y241" s="109"/>
      <c r="Z241" s="109"/>
      <c r="AA241" s="109"/>
      <c r="AB241" s="109"/>
      <c r="AC241" s="109"/>
      <c r="AD241" s="109"/>
      <c r="AE241" s="109"/>
      <c r="AF241" s="109"/>
    </row>
    <row r="242" spans="1:32" ht="13.5" customHeight="1" x14ac:dyDescent="0.25">
      <c r="A242" s="109"/>
      <c r="B242" s="109"/>
      <c r="C242" s="109"/>
      <c r="D242" s="109"/>
      <c r="E242" s="109"/>
      <c r="F242" s="109"/>
      <c r="G242" s="109"/>
      <c r="H242" s="109"/>
      <c r="I242" s="109"/>
      <c r="J242" s="109"/>
      <c r="K242" s="109"/>
      <c r="L242" s="109"/>
      <c r="M242" s="109"/>
      <c r="N242" s="109"/>
      <c r="O242" s="109"/>
      <c r="P242" s="109"/>
      <c r="Q242" s="109"/>
      <c r="R242" s="109"/>
      <c r="S242" s="109"/>
      <c r="T242" s="109"/>
      <c r="U242" s="109"/>
      <c r="Y242" s="109"/>
      <c r="Z242" s="109"/>
      <c r="AA242" s="109"/>
      <c r="AB242" s="109"/>
      <c r="AC242" s="109"/>
      <c r="AD242" s="109"/>
      <c r="AE242" s="109"/>
      <c r="AF242" s="109"/>
    </row>
    <row r="243" spans="1:32" ht="13.5" customHeight="1" x14ac:dyDescent="0.25">
      <c r="A243" s="109"/>
      <c r="B243" s="109"/>
      <c r="C243" s="109"/>
      <c r="D243" s="109"/>
      <c r="E243" s="109"/>
      <c r="F243" s="109"/>
      <c r="G243" s="109"/>
      <c r="H243" s="109"/>
      <c r="I243" s="109"/>
      <c r="J243" s="109"/>
      <c r="K243" s="109"/>
      <c r="L243" s="109"/>
      <c r="M243" s="109"/>
      <c r="N243" s="109"/>
      <c r="O243" s="109"/>
      <c r="P243" s="109"/>
      <c r="Q243" s="109"/>
      <c r="R243" s="109"/>
      <c r="S243" s="109"/>
      <c r="T243" s="109"/>
      <c r="U243" s="109"/>
      <c r="Y243" s="109"/>
      <c r="Z243" s="109"/>
      <c r="AA243" s="109"/>
      <c r="AB243" s="109"/>
      <c r="AC243" s="109"/>
      <c r="AD243" s="109"/>
      <c r="AE243" s="109"/>
      <c r="AF243" s="109"/>
    </row>
    <row r="244" spans="1:32" ht="13.5" customHeight="1" x14ac:dyDescent="0.25">
      <c r="A244" s="109"/>
      <c r="B244" s="109"/>
      <c r="C244" s="109"/>
      <c r="D244" s="109"/>
      <c r="E244" s="109"/>
      <c r="F244" s="109"/>
      <c r="G244" s="109"/>
      <c r="H244" s="109"/>
      <c r="I244" s="109"/>
      <c r="J244" s="109"/>
      <c r="K244" s="109"/>
      <c r="L244" s="109"/>
      <c r="M244" s="109"/>
      <c r="N244" s="109"/>
      <c r="O244" s="109"/>
      <c r="P244" s="109"/>
      <c r="Q244" s="109"/>
      <c r="R244" s="109"/>
      <c r="S244" s="109"/>
      <c r="T244" s="109"/>
      <c r="U244" s="109"/>
      <c r="Y244" s="109"/>
      <c r="Z244" s="109"/>
      <c r="AA244" s="109"/>
      <c r="AB244" s="109"/>
      <c r="AC244" s="109"/>
      <c r="AD244" s="109"/>
      <c r="AE244" s="109"/>
      <c r="AF244" s="109"/>
    </row>
    <row r="245" spans="1:32" ht="13.5" customHeight="1" x14ac:dyDescent="0.25">
      <c r="A245" s="109"/>
      <c r="B245" s="109"/>
      <c r="C245" s="109"/>
      <c r="D245" s="109"/>
      <c r="E245" s="109"/>
      <c r="F245" s="109"/>
      <c r="G245" s="109"/>
      <c r="H245" s="109"/>
      <c r="I245" s="109"/>
      <c r="J245" s="109"/>
      <c r="K245" s="109"/>
      <c r="L245" s="109"/>
      <c r="M245" s="109"/>
      <c r="N245" s="109"/>
      <c r="O245" s="109"/>
      <c r="P245" s="109"/>
      <c r="Q245" s="109"/>
      <c r="R245" s="109"/>
      <c r="S245" s="109"/>
      <c r="T245" s="109"/>
      <c r="U245" s="109"/>
      <c r="Y245" s="109"/>
      <c r="Z245" s="109"/>
      <c r="AA245" s="109"/>
      <c r="AB245" s="109"/>
      <c r="AC245" s="109"/>
      <c r="AD245" s="109"/>
      <c r="AE245" s="109"/>
      <c r="AF245" s="109"/>
    </row>
    <row r="246" spans="1:32" ht="13.5" customHeight="1" x14ac:dyDescent="0.25">
      <c r="A246" s="109"/>
      <c r="B246" s="109"/>
      <c r="C246" s="109"/>
      <c r="D246" s="109"/>
      <c r="E246" s="109"/>
      <c r="F246" s="109"/>
      <c r="G246" s="109"/>
      <c r="H246" s="109"/>
      <c r="I246" s="109"/>
      <c r="J246" s="109"/>
      <c r="K246" s="109"/>
      <c r="L246" s="109"/>
      <c r="M246" s="109"/>
      <c r="N246" s="109"/>
      <c r="O246" s="109"/>
      <c r="P246" s="109"/>
      <c r="Q246" s="109"/>
      <c r="R246" s="109"/>
      <c r="S246" s="109"/>
      <c r="T246" s="109"/>
      <c r="U246" s="109"/>
      <c r="Y246" s="109"/>
      <c r="Z246" s="109"/>
      <c r="AA246" s="109"/>
      <c r="AB246" s="109"/>
      <c r="AC246" s="109"/>
      <c r="AD246" s="109"/>
      <c r="AE246" s="109"/>
      <c r="AF246" s="109"/>
    </row>
    <row r="247" spans="1:32" ht="13.5" customHeight="1" x14ac:dyDescent="0.25">
      <c r="A247" s="109"/>
      <c r="B247" s="109"/>
      <c r="C247" s="109"/>
      <c r="D247" s="109"/>
      <c r="E247" s="109"/>
      <c r="F247" s="109"/>
      <c r="G247" s="109"/>
      <c r="H247" s="109"/>
      <c r="I247" s="109"/>
      <c r="J247" s="109"/>
      <c r="K247" s="109"/>
      <c r="L247" s="109"/>
      <c r="M247" s="109"/>
      <c r="N247" s="109"/>
      <c r="O247" s="109"/>
      <c r="P247" s="109"/>
      <c r="Q247" s="109"/>
      <c r="R247" s="109"/>
      <c r="S247" s="109"/>
      <c r="T247" s="109"/>
      <c r="U247" s="109"/>
      <c r="Y247" s="109"/>
      <c r="Z247" s="109"/>
      <c r="AA247" s="109"/>
      <c r="AB247" s="109"/>
      <c r="AC247" s="109"/>
      <c r="AD247" s="109"/>
      <c r="AE247" s="109"/>
      <c r="AF247" s="109"/>
    </row>
    <row r="248" spans="1:32" ht="13.5" customHeight="1" x14ac:dyDescent="0.25">
      <c r="A248" s="109"/>
      <c r="B248" s="109"/>
      <c r="C248" s="109"/>
      <c r="D248" s="109"/>
      <c r="E248" s="109"/>
      <c r="F248" s="109"/>
      <c r="G248" s="109"/>
      <c r="H248" s="109"/>
      <c r="I248" s="109"/>
      <c r="J248" s="109"/>
      <c r="K248" s="109"/>
      <c r="L248" s="109"/>
      <c r="M248" s="109"/>
      <c r="N248" s="109"/>
      <c r="O248" s="109"/>
      <c r="P248" s="109"/>
      <c r="Q248" s="109"/>
      <c r="R248" s="109"/>
      <c r="S248" s="109"/>
      <c r="T248" s="109"/>
      <c r="U248" s="109"/>
      <c r="Y248" s="109"/>
      <c r="Z248" s="109"/>
      <c r="AA248" s="109"/>
      <c r="AB248" s="109"/>
      <c r="AC248" s="109"/>
      <c r="AD248" s="109"/>
      <c r="AE248" s="109"/>
      <c r="AF248" s="109"/>
    </row>
    <row r="249" spans="1:32" ht="13.5" customHeight="1" x14ac:dyDescent="0.25">
      <c r="A249" s="109"/>
      <c r="B249" s="109"/>
      <c r="C249" s="109"/>
      <c r="D249" s="109"/>
      <c r="E249" s="109"/>
      <c r="F249" s="109"/>
      <c r="G249" s="109"/>
      <c r="H249" s="109"/>
      <c r="I249" s="109"/>
      <c r="J249" s="109"/>
      <c r="K249" s="109"/>
      <c r="L249" s="109"/>
      <c r="M249" s="109"/>
      <c r="N249" s="109"/>
      <c r="O249" s="109"/>
      <c r="P249" s="109"/>
      <c r="Q249" s="109"/>
      <c r="R249" s="109"/>
      <c r="S249" s="109"/>
      <c r="T249" s="109"/>
      <c r="U249" s="109"/>
      <c r="Y249" s="109"/>
      <c r="Z249" s="109"/>
      <c r="AA249" s="109"/>
      <c r="AB249" s="109"/>
      <c r="AC249" s="109"/>
      <c r="AD249" s="109"/>
      <c r="AE249" s="109"/>
      <c r="AF249" s="109"/>
    </row>
    <row r="250" spans="1:32" ht="13.5" customHeight="1" x14ac:dyDescent="0.25">
      <c r="A250" s="109"/>
      <c r="B250" s="109"/>
      <c r="C250" s="109"/>
      <c r="D250" s="109"/>
      <c r="E250" s="109"/>
      <c r="F250" s="109"/>
      <c r="G250" s="109"/>
      <c r="H250" s="109"/>
      <c r="I250" s="109"/>
      <c r="J250" s="109"/>
      <c r="K250" s="109"/>
      <c r="L250" s="109"/>
      <c r="M250" s="109"/>
      <c r="N250" s="109"/>
      <c r="O250" s="109"/>
      <c r="P250" s="109"/>
      <c r="Q250" s="109"/>
      <c r="R250" s="109"/>
      <c r="S250" s="109"/>
      <c r="T250" s="109"/>
      <c r="U250" s="109"/>
      <c r="Y250" s="109"/>
      <c r="Z250" s="109"/>
      <c r="AA250" s="109"/>
      <c r="AB250" s="109"/>
      <c r="AC250" s="109"/>
      <c r="AD250" s="109"/>
      <c r="AE250" s="109"/>
      <c r="AF250" s="109"/>
    </row>
    <row r="251" spans="1:32" ht="13.5" customHeight="1" x14ac:dyDescent="0.25">
      <c r="A251" s="109"/>
      <c r="B251" s="109"/>
      <c r="C251" s="109"/>
      <c r="D251" s="109"/>
      <c r="E251" s="109"/>
      <c r="F251" s="109"/>
      <c r="G251" s="109"/>
      <c r="H251" s="109"/>
      <c r="I251" s="109"/>
      <c r="J251" s="109"/>
      <c r="K251" s="109"/>
      <c r="L251" s="109"/>
      <c r="M251" s="109"/>
      <c r="N251" s="109"/>
      <c r="O251" s="109"/>
      <c r="P251" s="109"/>
      <c r="Q251" s="109"/>
      <c r="R251" s="109"/>
      <c r="S251" s="109"/>
      <c r="T251" s="109"/>
      <c r="U251" s="109"/>
      <c r="Y251" s="109"/>
      <c r="Z251" s="109"/>
      <c r="AA251" s="109"/>
      <c r="AB251" s="109"/>
      <c r="AC251" s="109"/>
      <c r="AD251" s="109"/>
      <c r="AE251" s="109"/>
      <c r="AF251" s="109"/>
    </row>
    <row r="252" spans="1:32" ht="13.5" customHeight="1" x14ac:dyDescent="0.25">
      <c r="A252" s="109"/>
      <c r="B252" s="109"/>
      <c r="C252" s="109"/>
      <c r="D252" s="109"/>
      <c r="E252" s="109"/>
      <c r="F252" s="109"/>
      <c r="G252" s="109"/>
      <c r="H252" s="109"/>
      <c r="I252" s="109"/>
      <c r="J252" s="109"/>
      <c r="K252" s="109"/>
      <c r="L252" s="109"/>
      <c r="M252" s="109"/>
      <c r="N252" s="109"/>
      <c r="O252" s="109"/>
      <c r="P252" s="109"/>
      <c r="Q252" s="109"/>
      <c r="R252" s="109"/>
      <c r="S252" s="109"/>
      <c r="T252" s="109"/>
      <c r="U252" s="109"/>
      <c r="Y252" s="109"/>
      <c r="Z252" s="109"/>
      <c r="AA252" s="109"/>
      <c r="AB252" s="109"/>
      <c r="AC252" s="109"/>
      <c r="AD252" s="109"/>
      <c r="AE252" s="109"/>
      <c r="AF252" s="109"/>
    </row>
    <row r="253" spans="1:32" ht="13.5" customHeight="1" x14ac:dyDescent="0.25">
      <c r="A253" s="109"/>
      <c r="B253" s="109"/>
      <c r="C253" s="109"/>
      <c r="D253" s="109"/>
      <c r="E253" s="109"/>
      <c r="F253" s="109"/>
      <c r="G253" s="109"/>
      <c r="H253" s="109"/>
      <c r="I253" s="109"/>
      <c r="J253" s="109"/>
      <c r="K253" s="109"/>
      <c r="L253" s="109"/>
      <c r="M253" s="109"/>
      <c r="N253" s="109"/>
      <c r="O253" s="109"/>
      <c r="P253" s="109"/>
      <c r="Q253" s="109"/>
      <c r="R253" s="109"/>
      <c r="S253" s="109"/>
      <c r="T253" s="109"/>
      <c r="U253" s="109"/>
      <c r="Y253" s="109"/>
      <c r="Z253" s="109"/>
      <c r="AA253" s="109"/>
      <c r="AB253" s="109"/>
      <c r="AC253" s="109"/>
      <c r="AD253" s="109"/>
      <c r="AE253" s="109"/>
      <c r="AF253" s="109"/>
    </row>
    <row r="254" spans="1:32" ht="13.5" customHeight="1" x14ac:dyDescent="0.25">
      <c r="A254" s="109"/>
      <c r="B254" s="109"/>
      <c r="C254" s="109"/>
      <c r="D254" s="109"/>
      <c r="E254" s="109"/>
      <c r="F254" s="109"/>
      <c r="G254" s="109"/>
      <c r="H254" s="109"/>
      <c r="I254" s="109"/>
      <c r="J254" s="109"/>
      <c r="K254" s="109"/>
      <c r="L254" s="109"/>
      <c r="M254" s="109"/>
      <c r="N254" s="109"/>
      <c r="O254" s="109"/>
      <c r="P254" s="109"/>
      <c r="Q254" s="109"/>
      <c r="R254" s="109"/>
      <c r="S254" s="109"/>
      <c r="T254" s="109"/>
      <c r="U254" s="109"/>
      <c r="Y254" s="109"/>
      <c r="Z254" s="109"/>
      <c r="AA254" s="109"/>
      <c r="AB254" s="109"/>
      <c r="AC254" s="109"/>
      <c r="AD254" s="109"/>
      <c r="AE254" s="109"/>
      <c r="AF254" s="109"/>
    </row>
    <row r="255" spans="1:32" ht="13.5" customHeight="1" x14ac:dyDescent="0.25">
      <c r="A255" s="109"/>
      <c r="B255" s="109"/>
      <c r="C255" s="109"/>
      <c r="D255" s="109"/>
      <c r="E255" s="109"/>
      <c r="F255" s="109"/>
      <c r="G255" s="109"/>
      <c r="H255" s="109"/>
      <c r="I255" s="109"/>
      <c r="J255" s="109"/>
      <c r="K255" s="109"/>
      <c r="L255" s="109"/>
      <c r="M255" s="109"/>
      <c r="N255" s="109"/>
      <c r="O255" s="109"/>
      <c r="P255" s="109"/>
      <c r="Q255" s="109"/>
      <c r="R255" s="109"/>
      <c r="S255" s="109"/>
      <c r="T255" s="109"/>
      <c r="U255" s="109"/>
      <c r="Y255" s="109"/>
      <c r="Z255" s="109"/>
      <c r="AA255" s="109"/>
      <c r="AB255" s="109"/>
      <c r="AC255" s="109"/>
      <c r="AD255" s="109"/>
      <c r="AE255" s="109"/>
      <c r="AF255" s="109"/>
    </row>
    <row r="256" spans="1:32" ht="13.5" customHeight="1" x14ac:dyDescent="0.25">
      <c r="A256" s="109"/>
      <c r="B256" s="109"/>
      <c r="C256" s="109"/>
      <c r="D256" s="109"/>
      <c r="E256" s="109"/>
      <c r="F256" s="109"/>
      <c r="G256" s="109"/>
      <c r="H256" s="109"/>
      <c r="I256" s="109"/>
      <c r="J256" s="109"/>
      <c r="K256" s="109"/>
      <c r="L256" s="109"/>
      <c r="M256" s="109"/>
      <c r="N256" s="109"/>
      <c r="O256" s="109"/>
      <c r="P256" s="109"/>
      <c r="Q256" s="109"/>
      <c r="R256" s="109"/>
      <c r="S256" s="109"/>
      <c r="T256" s="109"/>
      <c r="U256" s="109"/>
      <c r="Y256" s="109"/>
      <c r="Z256" s="109"/>
      <c r="AA256" s="109"/>
      <c r="AB256" s="109"/>
      <c r="AC256" s="109"/>
      <c r="AD256" s="109"/>
      <c r="AE256" s="109"/>
      <c r="AF256" s="109"/>
    </row>
    <row r="257" spans="1:32" ht="13.5" customHeight="1" x14ac:dyDescent="0.25">
      <c r="A257" s="109"/>
      <c r="B257" s="109"/>
      <c r="C257" s="109"/>
      <c r="D257" s="109"/>
      <c r="E257" s="109"/>
      <c r="F257" s="109"/>
      <c r="G257" s="109"/>
      <c r="H257" s="109"/>
      <c r="I257" s="109"/>
      <c r="J257" s="109"/>
      <c r="K257" s="109"/>
      <c r="L257" s="109"/>
      <c r="M257" s="109"/>
      <c r="N257" s="109"/>
      <c r="O257" s="109"/>
      <c r="P257" s="109"/>
      <c r="Q257" s="109"/>
      <c r="R257" s="109"/>
      <c r="S257" s="109"/>
      <c r="T257" s="109"/>
      <c r="U257" s="109"/>
      <c r="Y257" s="109"/>
      <c r="Z257" s="109"/>
      <c r="AA257" s="109"/>
      <c r="AB257" s="109"/>
      <c r="AC257" s="109"/>
      <c r="AD257" s="109"/>
      <c r="AE257" s="109"/>
      <c r="AF257" s="109"/>
    </row>
    <row r="258" spans="1:32" ht="13.5" customHeight="1" x14ac:dyDescent="0.25">
      <c r="A258" s="109"/>
      <c r="B258" s="109"/>
      <c r="C258" s="109"/>
      <c r="D258" s="109"/>
      <c r="E258" s="109"/>
      <c r="F258" s="109"/>
      <c r="G258" s="109"/>
      <c r="H258" s="109"/>
      <c r="I258" s="109"/>
      <c r="J258" s="109"/>
      <c r="K258" s="109"/>
      <c r="L258" s="109"/>
      <c r="M258" s="109"/>
      <c r="N258" s="109"/>
      <c r="O258" s="109"/>
      <c r="P258" s="109"/>
      <c r="Q258" s="109"/>
      <c r="R258" s="109"/>
      <c r="S258" s="109"/>
      <c r="T258" s="109"/>
      <c r="U258" s="109"/>
      <c r="Y258" s="109"/>
      <c r="Z258" s="109"/>
      <c r="AA258" s="109"/>
      <c r="AB258" s="109"/>
      <c r="AC258" s="109"/>
      <c r="AD258" s="109"/>
      <c r="AE258" s="109"/>
      <c r="AF258" s="109"/>
    </row>
    <row r="259" spans="1:32" ht="13.5" customHeight="1" x14ac:dyDescent="0.25">
      <c r="A259" s="109"/>
      <c r="B259" s="109"/>
      <c r="C259" s="109"/>
      <c r="D259" s="109"/>
      <c r="E259" s="109"/>
      <c r="F259" s="109"/>
      <c r="G259" s="109"/>
      <c r="H259" s="109"/>
      <c r="I259" s="109"/>
      <c r="J259" s="109"/>
      <c r="K259" s="109"/>
      <c r="L259" s="109"/>
      <c r="M259" s="109"/>
      <c r="N259" s="109"/>
      <c r="O259" s="109"/>
      <c r="P259" s="109"/>
      <c r="Q259" s="109"/>
      <c r="R259" s="109"/>
      <c r="S259" s="109"/>
      <c r="T259" s="109"/>
      <c r="U259" s="109"/>
      <c r="Y259" s="109"/>
      <c r="Z259" s="109"/>
      <c r="AA259" s="109"/>
      <c r="AB259" s="109"/>
      <c r="AC259" s="109"/>
      <c r="AD259" s="109"/>
      <c r="AE259" s="109"/>
      <c r="AF259" s="109"/>
    </row>
    <row r="260" spans="1:32" x14ac:dyDescent="0.25">
      <c r="A260" s="109"/>
      <c r="B260" s="109"/>
      <c r="C260" s="109"/>
      <c r="D260" s="109"/>
      <c r="E260" s="109"/>
      <c r="F260" s="109"/>
      <c r="G260" s="109"/>
      <c r="H260" s="109"/>
      <c r="I260" s="109"/>
      <c r="J260" s="109"/>
      <c r="K260" s="109"/>
      <c r="L260" s="109"/>
      <c r="M260" s="109"/>
      <c r="N260" s="109"/>
      <c r="O260" s="109"/>
      <c r="P260" s="109"/>
      <c r="Q260" s="109"/>
      <c r="R260" s="109"/>
      <c r="S260" s="109"/>
      <c r="T260" s="109"/>
      <c r="U260" s="109"/>
    </row>
    <row r="261" spans="1:32" x14ac:dyDescent="0.25">
      <c r="A261" s="109"/>
      <c r="B261" s="109"/>
      <c r="C261" s="109"/>
      <c r="D261" s="109"/>
      <c r="E261" s="109"/>
      <c r="F261" s="109"/>
      <c r="G261" s="109"/>
      <c r="H261" s="109"/>
      <c r="I261" s="109"/>
      <c r="J261" s="109"/>
      <c r="K261" s="109"/>
      <c r="L261" s="109"/>
      <c r="M261" s="109"/>
      <c r="N261" s="109"/>
      <c r="O261" s="109"/>
      <c r="P261" s="109"/>
      <c r="Q261" s="109"/>
      <c r="R261" s="109"/>
      <c r="S261" s="109"/>
      <c r="T261" s="109"/>
      <c r="U261" s="109"/>
    </row>
    <row r="262" spans="1:32" x14ac:dyDescent="0.25">
      <c r="A262" s="109"/>
      <c r="B262" s="109"/>
      <c r="C262" s="109"/>
      <c r="D262" s="109"/>
      <c r="E262" s="109"/>
      <c r="F262" s="109"/>
      <c r="G262" s="109"/>
      <c r="H262" s="109"/>
      <c r="I262" s="109"/>
      <c r="J262" s="109"/>
      <c r="K262" s="109"/>
      <c r="L262" s="109"/>
      <c r="M262" s="109"/>
      <c r="N262" s="109"/>
      <c r="O262" s="109"/>
      <c r="P262" s="109"/>
      <c r="Q262" s="109"/>
      <c r="R262" s="109"/>
      <c r="S262" s="109"/>
      <c r="T262" s="109"/>
      <c r="U262" s="109"/>
    </row>
    <row r="263" spans="1:32" x14ac:dyDescent="0.25">
      <c r="A263" s="109"/>
      <c r="B263" s="109"/>
      <c r="C263" s="109"/>
      <c r="D263" s="109"/>
      <c r="E263" s="109"/>
      <c r="F263" s="109"/>
      <c r="G263" s="109"/>
      <c r="H263" s="109"/>
      <c r="I263" s="109"/>
      <c r="J263" s="109"/>
      <c r="K263" s="109"/>
      <c r="L263" s="109"/>
      <c r="M263" s="109"/>
      <c r="N263" s="109"/>
      <c r="O263" s="109"/>
      <c r="P263" s="109"/>
      <c r="Q263" s="109"/>
      <c r="R263" s="109"/>
      <c r="S263" s="109"/>
      <c r="T263" s="109"/>
      <c r="U263" s="109"/>
    </row>
    <row r="264" spans="1:32" x14ac:dyDescent="0.25">
      <c r="A264" s="109"/>
      <c r="B264" s="109"/>
      <c r="C264" s="109"/>
      <c r="D264" s="109"/>
      <c r="E264" s="109"/>
      <c r="F264" s="109"/>
      <c r="G264" s="109"/>
      <c r="H264" s="109"/>
      <c r="I264" s="109"/>
      <c r="J264" s="109"/>
      <c r="K264" s="109"/>
      <c r="L264" s="109"/>
      <c r="M264" s="109"/>
      <c r="N264" s="109"/>
      <c r="O264" s="109"/>
      <c r="P264" s="109"/>
      <c r="Q264" s="109"/>
      <c r="R264" s="109"/>
      <c r="S264" s="109"/>
      <c r="T264" s="109"/>
      <c r="U264" s="109"/>
    </row>
    <row r="265" spans="1:32" x14ac:dyDescent="0.25">
      <c r="A265" s="109"/>
      <c r="B265" s="109"/>
      <c r="C265" s="109"/>
      <c r="D265" s="109"/>
      <c r="E265" s="109"/>
      <c r="F265" s="109"/>
      <c r="G265" s="109"/>
      <c r="H265" s="109"/>
      <c r="I265" s="109"/>
      <c r="J265" s="109"/>
      <c r="K265" s="109"/>
      <c r="L265" s="109"/>
      <c r="M265" s="109"/>
      <c r="N265" s="109"/>
      <c r="O265" s="109"/>
      <c r="P265" s="109"/>
      <c r="Q265" s="109"/>
      <c r="R265" s="109"/>
      <c r="S265" s="109"/>
      <c r="T265" s="109"/>
      <c r="U265" s="109"/>
    </row>
    <row r="266" spans="1:32" x14ac:dyDescent="0.25">
      <c r="A266" s="109"/>
      <c r="B266" s="109"/>
      <c r="C266" s="109"/>
      <c r="D266" s="109"/>
      <c r="E266" s="109"/>
      <c r="F266" s="109"/>
      <c r="G266" s="109"/>
      <c r="H266" s="109"/>
      <c r="I266" s="109"/>
      <c r="J266" s="109"/>
      <c r="K266" s="109"/>
      <c r="L266" s="109"/>
      <c r="M266" s="109"/>
      <c r="N266" s="109"/>
      <c r="O266" s="109"/>
      <c r="P266" s="109"/>
      <c r="Q266" s="109"/>
      <c r="R266" s="109"/>
      <c r="S266" s="109"/>
      <c r="T266" s="109"/>
      <c r="U266" s="109"/>
    </row>
    <row r="267" spans="1:32" x14ac:dyDescent="0.25">
      <c r="A267" s="109"/>
      <c r="B267" s="109"/>
      <c r="C267" s="109"/>
      <c r="D267" s="109"/>
      <c r="E267" s="109"/>
      <c r="F267" s="109"/>
      <c r="G267" s="109"/>
      <c r="H267" s="109"/>
      <c r="I267" s="109"/>
      <c r="J267" s="109"/>
      <c r="K267" s="109"/>
      <c r="L267" s="109"/>
      <c r="M267" s="109"/>
      <c r="N267" s="109"/>
      <c r="O267" s="109"/>
      <c r="P267" s="109"/>
      <c r="Q267" s="109"/>
      <c r="R267" s="109"/>
      <c r="S267" s="109"/>
      <c r="T267" s="109"/>
      <c r="U267" s="109"/>
    </row>
    <row r="268" spans="1:32" x14ac:dyDescent="0.25">
      <c r="A268" s="109"/>
      <c r="B268" s="109"/>
      <c r="C268" s="109"/>
      <c r="D268" s="109"/>
      <c r="E268" s="109"/>
      <c r="F268" s="109"/>
      <c r="G268" s="109"/>
      <c r="H268" s="109"/>
      <c r="I268" s="109"/>
      <c r="J268" s="109"/>
      <c r="K268" s="109"/>
      <c r="L268" s="109"/>
      <c r="M268" s="109"/>
      <c r="N268" s="109"/>
      <c r="O268" s="109"/>
      <c r="P268" s="109"/>
      <c r="Q268" s="109"/>
      <c r="R268" s="109"/>
      <c r="S268" s="109"/>
      <c r="T268" s="109"/>
      <c r="U268" s="109"/>
    </row>
    <row r="269" spans="1:32" x14ac:dyDescent="0.25">
      <c r="A269" s="109"/>
      <c r="B269" s="109"/>
      <c r="C269" s="109"/>
      <c r="D269" s="109"/>
      <c r="E269" s="109"/>
      <c r="F269" s="109"/>
      <c r="G269" s="109"/>
      <c r="H269" s="109"/>
      <c r="I269" s="109"/>
      <c r="J269" s="109"/>
      <c r="K269" s="109"/>
      <c r="L269" s="109"/>
      <c r="M269" s="109"/>
      <c r="N269" s="109"/>
      <c r="O269" s="109"/>
      <c r="P269" s="109"/>
      <c r="Q269" s="109"/>
      <c r="R269" s="109"/>
      <c r="S269" s="109"/>
      <c r="T269" s="109"/>
      <c r="U269" s="109"/>
    </row>
    <row r="270" spans="1:32" x14ac:dyDescent="0.25">
      <c r="A270" s="109"/>
      <c r="B270" s="109"/>
      <c r="C270" s="109"/>
      <c r="D270" s="109"/>
      <c r="E270" s="109"/>
      <c r="F270" s="109"/>
      <c r="G270" s="109"/>
      <c r="H270" s="109"/>
      <c r="I270" s="109"/>
      <c r="J270" s="109"/>
      <c r="K270" s="109"/>
      <c r="L270" s="109"/>
      <c r="M270" s="109"/>
      <c r="N270" s="109"/>
      <c r="O270" s="109"/>
      <c r="P270" s="109"/>
      <c r="Q270" s="109"/>
      <c r="R270" s="109"/>
      <c r="S270" s="109"/>
      <c r="T270" s="109"/>
      <c r="U270" s="109"/>
    </row>
    <row r="271" spans="1:32" x14ac:dyDescent="0.25">
      <c r="A271" s="109"/>
      <c r="B271" s="109"/>
      <c r="C271" s="109"/>
      <c r="D271" s="109"/>
      <c r="E271" s="109"/>
      <c r="F271" s="109"/>
      <c r="G271" s="109"/>
      <c r="H271" s="109"/>
      <c r="I271" s="109"/>
      <c r="J271" s="109"/>
      <c r="K271" s="109"/>
      <c r="L271" s="109"/>
      <c r="M271" s="109"/>
      <c r="N271" s="109"/>
      <c r="O271" s="109"/>
      <c r="P271" s="109"/>
      <c r="Q271" s="109"/>
      <c r="R271" s="109"/>
      <c r="S271" s="109"/>
      <c r="T271" s="109"/>
      <c r="U271" s="109"/>
    </row>
    <row r="272" spans="1:32" x14ac:dyDescent="0.25">
      <c r="A272" s="109"/>
      <c r="B272" s="109"/>
      <c r="C272" s="109"/>
      <c r="D272" s="109"/>
      <c r="E272" s="109"/>
      <c r="F272" s="109"/>
      <c r="G272" s="109"/>
      <c r="H272" s="109"/>
      <c r="I272" s="109"/>
      <c r="J272" s="109"/>
      <c r="K272" s="109"/>
      <c r="L272" s="109"/>
      <c r="M272" s="109"/>
      <c r="N272" s="109"/>
      <c r="O272" s="109"/>
      <c r="P272" s="109"/>
      <c r="Q272" s="109"/>
      <c r="R272" s="109"/>
      <c r="S272" s="109"/>
      <c r="T272" s="109"/>
      <c r="U272" s="109"/>
    </row>
    <row r="273" spans="1:21" x14ac:dyDescent="0.25">
      <c r="A273" s="109"/>
      <c r="B273" s="109"/>
      <c r="C273" s="109"/>
      <c r="D273" s="109"/>
      <c r="E273" s="109"/>
      <c r="F273" s="109"/>
      <c r="G273" s="109"/>
      <c r="H273" s="109"/>
      <c r="I273" s="109"/>
      <c r="J273" s="109"/>
      <c r="K273" s="109"/>
      <c r="L273" s="109"/>
      <c r="M273" s="109"/>
      <c r="N273" s="109"/>
      <c r="O273" s="109"/>
      <c r="P273" s="109"/>
      <c r="Q273" s="109"/>
      <c r="R273" s="109"/>
      <c r="S273" s="109"/>
      <c r="T273" s="109"/>
      <c r="U273" s="109"/>
    </row>
    <row r="274" spans="1:21" x14ac:dyDescent="0.25">
      <c r="A274" s="109"/>
      <c r="B274" s="109"/>
      <c r="C274" s="109"/>
      <c r="D274" s="109"/>
      <c r="E274" s="109"/>
      <c r="F274" s="109"/>
      <c r="G274" s="109"/>
      <c r="H274" s="109"/>
      <c r="I274" s="109"/>
      <c r="J274" s="109"/>
      <c r="K274" s="109"/>
      <c r="L274" s="109"/>
      <c r="M274" s="109"/>
      <c r="N274" s="109"/>
      <c r="O274" s="109"/>
      <c r="P274" s="109"/>
      <c r="Q274" s="109"/>
      <c r="R274" s="109"/>
      <c r="S274" s="109"/>
      <c r="T274" s="109"/>
      <c r="U274" s="109"/>
    </row>
    <row r="275" spans="1:21" x14ac:dyDescent="0.25">
      <c r="A275" s="109"/>
      <c r="B275" s="109"/>
      <c r="C275" s="109"/>
      <c r="D275" s="109"/>
      <c r="E275" s="109"/>
      <c r="F275" s="109"/>
      <c r="G275" s="109"/>
      <c r="H275" s="109"/>
      <c r="I275" s="109"/>
      <c r="J275" s="109"/>
      <c r="K275" s="109"/>
      <c r="L275" s="109"/>
      <c r="M275" s="109"/>
      <c r="N275" s="109"/>
      <c r="O275" s="109"/>
      <c r="P275" s="109"/>
      <c r="Q275" s="109"/>
      <c r="R275" s="109"/>
      <c r="S275" s="109"/>
      <c r="T275" s="109"/>
      <c r="U275" s="109"/>
    </row>
    <row r="276" spans="1:21" x14ac:dyDescent="0.25">
      <c r="A276" s="109"/>
      <c r="B276" s="109"/>
      <c r="C276" s="109"/>
      <c r="D276" s="109"/>
      <c r="E276" s="109"/>
      <c r="F276" s="109"/>
      <c r="G276" s="109"/>
      <c r="H276" s="109"/>
      <c r="I276" s="109"/>
      <c r="J276" s="109"/>
      <c r="K276" s="109"/>
      <c r="L276" s="109"/>
      <c r="M276" s="109"/>
      <c r="N276" s="109"/>
      <c r="O276" s="109"/>
      <c r="P276" s="109"/>
      <c r="Q276" s="109"/>
      <c r="R276" s="109"/>
      <c r="S276" s="109"/>
      <c r="T276" s="109"/>
      <c r="U276" s="109"/>
    </row>
    <row r="277" spans="1:21" x14ac:dyDescent="0.25">
      <c r="A277" s="109"/>
      <c r="B277" s="109"/>
      <c r="C277" s="109"/>
      <c r="D277" s="109"/>
      <c r="E277" s="109"/>
      <c r="F277" s="109"/>
      <c r="G277" s="109"/>
      <c r="H277" s="109"/>
      <c r="I277" s="109"/>
      <c r="J277" s="109"/>
      <c r="K277" s="109"/>
      <c r="L277" s="109"/>
      <c r="M277" s="109"/>
      <c r="N277" s="109"/>
      <c r="O277" s="109"/>
      <c r="P277" s="109"/>
      <c r="Q277" s="109"/>
      <c r="R277" s="109"/>
      <c r="S277" s="109"/>
      <c r="T277" s="109"/>
      <c r="U277" s="109"/>
    </row>
    <row r="278" spans="1:21" x14ac:dyDescent="0.25">
      <c r="A278" s="109"/>
      <c r="B278" s="109"/>
      <c r="C278" s="109"/>
      <c r="D278" s="109"/>
      <c r="E278" s="109"/>
      <c r="F278" s="109"/>
      <c r="G278" s="109"/>
      <c r="H278" s="109"/>
      <c r="I278" s="109"/>
      <c r="J278" s="109"/>
      <c r="K278" s="109"/>
      <c r="L278" s="109"/>
      <c r="M278" s="109"/>
      <c r="N278" s="109"/>
      <c r="O278" s="109"/>
      <c r="P278" s="109"/>
      <c r="Q278" s="109"/>
      <c r="R278" s="109"/>
      <c r="S278" s="109"/>
      <c r="T278" s="109"/>
      <c r="U278" s="109"/>
    </row>
    <row r="279" spans="1:21" x14ac:dyDescent="0.25">
      <c r="A279" s="109"/>
      <c r="B279" s="109"/>
      <c r="C279" s="109"/>
      <c r="D279" s="109"/>
      <c r="E279" s="109"/>
      <c r="F279" s="109"/>
      <c r="G279" s="109"/>
      <c r="H279" s="109"/>
      <c r="I279" s="109"/>
      <c r="J279" s="109"/>
      <c r="K279" s="109"/>
      <c r="L279" s="109"/>
      <c r="M279" s="109"/>
      <c r="N279" s="109"/>
      <c r="O279" s="109"/>
      <c r="P279" s="109"/>
      <c r="Q279" s="109"/>
      <c r="R279" s="109"/>
      <c r="S279" s="109"/>
      <c r="T279" s="109"/>
      <c r="U279" s="109"/>
    </row>
    <row r="280" spans="1:21" x14ac:dyDescent="0.25">
      <c r="A280" s="109"/>
      <c r="B280" s="109"/>
      <c r="C280" s="109"/>
      <c r="D280" s="109"/>
      <c r="E280" s="109"/>
      <c r="F280" s="109"/>
      <c r="G280" s="109"/>
      <c r="H280" s="109"/>
      <c r="I280" s="109"/>
      <c r="J280" s="109"/>
      <c r="K280" s="109"/>
      <c r="L280" s="109"/>
      <c r="M280" s="109"/>
      <c r="N280" s="109"/>
      <c r="O280" s="109"/>
      <c r="P280" s="109"/>
      <c r="Q280" s="109"/>
      <c r="R280" s="109"/>
      <c r="S280" s="109"/>
      <c r="T280" s="109"/>
      <c r="U280" s="109"/>
    </row>
    <row r="281" spans="1:21" x14ac:dyDescent="0.25">
      <c r="A281" s="109"/>
      <c r="B281" s="109"/>
      <c r="C281" s="109"/>
      <c r="D281" s="109"/>
      <c r="E281" s="109"/>
      <c r="F281" s="109"/>
      <c r="G281" s="109"/>
      <c r="H281" s="109"/>
      <c r="I281" s="109"/>
      <c r="J281" s="109"/>
      <c r="K281" s="109"/>
      <c r="L281" s="109"/>
      <c r="M281" s="109"/>
      <c r="N281" s="109"/>
      <c r="O281" s="109"/>
      <c r="P281" s="109"/>
      <c r="Q281" s="109"/>
      <c r="R281" s="109"/>
      <c r="S281" s="109"/>
      <c r="T281" s="109"/>
      <c r="U281" s="109"/>
    </row>
    <row r="282" spans="1:21" x14ac:dyDescent="0.25">
      <c r="A282" s="109"/>
      <c r="B282" s="109"/>
      <c r="C282" s="109"/>
      <c r="D282" s="109"/>
      <c r="E282" s="109"/>
      <c r="F282" s="109"/>
      <c r="G282" s="109"/>
      <c r="H282" s="109"/>
      <c r="I282" s="109"/>
      <c r="J282" s="109"/>
      <c r="K282" s="109"/>
      <c r="L282" s="109"/>
      <c r="M282" s="109"/>
      <c r="N282" s="109"/>
      <c r="O282" s="109"/>
      <c r="P282" s="109"/>
      <c r="Q282" s="109"/>
      <c r="R282" s="109"/>
      <c r="S282" s="109"/>
      <c r="T282" s="109"/>
      <c r="U282" s="109"/>
    </row>
    <row r="283" spans="1:21" x14ac:dyDescent="0.25">
      <c r="A283" s="109"/>
      <c r="B283" s="109"/>
      <c r="C283" s="109"/>
      <c r="D283" s="109"/>
      <c r="E283" s="109"/>
      <c r="F283" s="109"/>
      <c r="G283" s="109"/>
      <c r="H283" s="109"/>
      <c r="I283" s="109"/>
      <c r="J283" s="109"/>
      <c r="K283" s="109"/>
      <c r="L283" s="109"/>
      <c r="M283" s="109"/>
      <c r="N283" s="109"/>
      <c r="O283" s="109"/>
      <c r="P283" s="109"/>
      <c r="Q283" s="109"/>
      <c r="R283" s="109"/>
      <c r="S283" s="109"/>
      <c r="T283" s="109"/>
      <c r="U283" s="109"/>
    </row>
    <row r="284" spans="1:21" x14ac:dyDescent="0.25">
      <c r="A284" s="109"/>
      <c r="B284" s="109"/>
      <c r="C284" s="109"/>
      <c r="D284" s="109"/>
      <c r="E284" s="109"/>
      <c r="F284" s="109"/>
      <c r="G284" s="109"/>
      <c r="H284" s="109"/>
      <c r="I284" s="109"/>
      <c r="J284" s="109"/>
      <c r="K284" s="109"/>
      <c r="L284" s="109"/>
      <c r="M284" s="109"/>
      <c r="N284" s="109"/>
      <c r="O284" s="109"/>
      <c r="P284" s="109"/>
      <c r="Q284" s="109"/>
      <c r="R284" s="109"/>
      <c r="S284" s="109"/>
      <c r="T284" s="109"/>
      <c r="U284" s="109"/>
    </row>
    <row r="285" spans="1:21" x14ac:dyDescent="0.25">
      <c r="A285" s="109"/>
      <c r="B285" s="109"/>
      <c r="C285" s="109"/>
      <c r="D285" s="109"/>
      <c r="E285" s="109"/>
      <c r="F285" s="109"/>
      <c r="G285" s="109"/>
      <c r="H285" s="109"/>
      <c r="I285" s="109"/>
      <c r="J285" s="109"/>
      <c r="K285" s="109"/>
      <c r="L285" s="109"/>
      <c r="M285" s="109"/>
      <c r="N285" s="109"/>
      <c r="O285" s="109"/>
      <c r="P285" s="109"/>
      <c r="Q285" s="109"/>
      <c r="R285" s="109"/>
      <c r="S285" s="109"/>
      <c r="T285" s="109"/>
      <c r="U285" s="109"/>
    </row>
    <row r="286" spans="1:21" x14ac:dyDescent="0.25">
      <c r="A286" s="109"/>
      <c r="B286" s="109"/>
      <c r="C286" s="109"/>
      <c r="D286" s="109"/>
      <c r="E286" s="109"/>
      <c r="F286" s="109"/>
      <c r="G286" s="109"/>
      <c r="H286" s="109"/>
      <c r="I286" s="109"/>
      <c r="J286" s="109"/>
      <c r="K286" s="109"/>
      <c r="L286" s="109"/>
      <c r="M286" s="109"/>
      <c r="N286" s="109"/>
      <c r="O286" s="109"/>
      <c r="P286" s="109"/>
      <c r="Q286" s="109"/>
      <c r="R286" s="109"/>
      <c r="S286" s="109"/>
      <c r="T286" s="109"/>
      <c r="U286" s="109"/>
    </row>
    <row r="287" spans="1:21" x14ac:dyDescent="0.25">
      <c r="A287" s="109"/>
      <c r="B287" s="109"/>
      <c r="C287" s="109"/>
      <c r="D287" s="109"/>
      <c r="E287" s="109"/>
      <c r="F287" s="109"/>
      <c r="G287" s="109"/>
      <c r="H287" s="109"/>
      <c r="I287" s="109"/>
      <c r="J287" s="109"/>
      <c r="K287" s="109"/>
      <c r="L287" s="109"/>
      <c r="M287" s="109"/>
      <c r="N287" s="109"/>
      <c r="O287" s="109"/>
      <c r="P287" s="109"/>
      <c r="Q287" s="109"/>
      <c r="R287" s="109"/>
      <c r="S287" s="109"/>
      <c r="T287" s="109"/>
      <c r="U287" s="109"/>
    </row>
    <row r="288" spans="1:21" x14ac:dyDescent="0.25">
      <c r="A288" s="109"/>
      <c r="B288" s="109"/>
      <c r="C288" s="109"/>
      <c r="D288" s="109"/>
      <c r="E288" s="109"/>
      <c r="F288" s="109"/>
      <c r="G288" s="109"/>
      <c r="H288" s="109"/>
      <c r="I288" s="109"/>
      <c r="J288" s="109"/>
      <c r="K288" s="109"/>
      <c r="L288" s="109"/>
      <c r="M288" s="109"/>
      <c r="N288" s="109"/>
      <c r="O288" s="109"/>
      <c r="P288" s="109"/>
      <c r="Q288" s="109"/>
      <c r="R288" s="109"/>
      <c r="S288" s="109"/>
      <c r="T288" s="109"/>
      <c r="U288" s="109"/>
    </row>
    <row r="289" spans="1:21" x14ac:dyDescent="0.25">
      <c r="A289" s="109"/>
      <c r="B289" s="109"/>
      <c r="C289" s="109"/>
      <c r="D289" s="109"/>
      <c r="E289" s="109"/>
      <c r="F289" s="109"/>
      <c r="G289" s="109"/>
      <c r="H289" s="109"/>
      <c r="I289" s="109"/>
      <c r="J289" s="109"/>
      <c r="K289" s="109"/>
      <c r="L289" s="109"/>
      <c r="M289" s="109"/>
      <c r="N289" s="109"/>
      <c r="O289" s="109"/>
      <c r="P289" s="109"/>
      <c r="Q289" s="109"/>
      <c r="R289" s="109"/>
      <c r="S289" s="109"/>
      <c r="T289" s="109"/>
      <c r="U289" s="109"/>
    </row>
    <row r="290" spans="1:21" x14ac:dyDescent="0.25">
      <c r="A290" s="109"/>
      <c r="B290" s="109"/>
      <c r="C290" s="109"/>
      <c r="D290" s="109"/>
      <c r="E290" s="109"/>
      <c r="F290" s="109"/>
      <c r="G290" s="109"/>
      <c r="H290" s="109"/>
      <c r="I290" s="109"/>
      <c r="J290" s="109"/>
      <c r="K290" s="109"/>
      <c r="L290" s="109"/>
      <c r="M290" s="109"/>
      <c r="N290" s="109"/>
      <c r="O290" s="109"/>
      <c r="P290" s="109"/>
      <c r="Q290" s="109"/>
      <c r="R290" s="109"/>
      <c r="S290" s="109"/>
      <c r="T290" s="109"/>
      <c r="U290" s="109"/>
    </row>
    <row r="291" spans="1:21" x14ac:dyDescent="0.25">
      <c r="A291" s="109"/>
      <c r="B291" s="109"/>
      <c r="C291" s="109"/>
      <c r="D291" s="109"/>
      <c r="E291" s="109"/>
      <c r="F291" s="109"/>
      <c r="G291" s="109"/>
      <c r="H291" s="109"/>
      <c r="I291" s="109"/>
      <c r="J291" s="109"/>
      <c r="K291" s="109"/>
      <c r="L291" s="109"/>
      <c r="M291" s="109"/>
      <c r="N291" s="109"/>
      <c r="O291" s="109"/>
      <c r="P291" s="109"/>
      <c r="Q291" s="109"/>
      <c r="R291" s="109"/>
      <c r="S291" s="109"/>
      <c r="T291" s="109"/>
      <c r="U291" s="109"/>
    </row>
    <row r="292" spans="1:21" x14ac:dyDescent="0.25">
      <c r="A292" s="109"/>
      <c r="B292" s="109"/>
      <c r="C292" s="109"/>
      <c r="D292" s="109"/>
      <c r="E292" s="109"/>
      <c r="F292" s="109"/>
      <c r="G292" s="109"/>
      <c r="H292" s="109"/>
      <c r="I292" s="109"/>
      <c r="J292" s="109"/>
      <c r="K292" s="109"/>
      <c r="L292" s="109"/>
      <c r="M292" s="109"/>
      <c r="N292" s="109"/>
      <c r="O292" s="109"/>
      <c r="P292" s="109"/>
      <c r="Q292" s="109"/>
      <c r="R292" s="109"/>
      <c r="S292" s="109"/>
      <c r="T292" s="109"/>
      <c r="U292" s="109"/>
    </row>
    <row r="293" spans="1:21" x14ac:dyDescent="0.25">
      <c r="A293" s="109"/>
      <c r="B293" s="109"/>
      <c r="C293" s="109"/>
      <c r="D293" s="109"/>
      <c r="E293" s="109"/>
      <c r="F293" s="109"/>
      <c r="G293" s="109"/>
      <c r="H293" s="109"/>
      <c r="I293" s="109"/>
      <c r="J293" s="109"/>
      <c r="K293" s="109"/>
      <c r="L293" s="109"/>
      <c r="M293" s="109"/>
      <c r="N293" s="109"/>
      <c r="O293" s="109"/>
      <c r="P293" s="109"/>
      <c r="Q293" s="109"/>
      <c r="R293" s="109"/>
      <c r="S293" s="109"/>
      <c r="T293" s="109"/>
      <c r="U293" s="109"/>
    </row>
    <row r="294" spans="1:21" x14ac:dyDescent="0.25">
      <c r="A294" s="109"/>
      <c r="B294" s="109"/>
      <c r="C294" s="109"/>
      <c r="D294" s="109"/>
      <c r="E294" s="109"/>
      <c r="F294" s="109"/>
      <c r="G294" s="109"/>
      <c r="H294" s="109"/>
      <c r="I294" s="109"/>
      <c r="J294" s="109"/>
      <c r="K294" s="109"/>
      <c r="L294" s="109"/>
      <c r="M294" s="109"/>
      <c r="N294" s="109"/>
      <c r="O294" s="109"/>
      <c r="P294" s="109"/>
      <c r="Q294" s="109"/>
      <c r="R294" s="109"/>
      <c r="S294" s="109"/>
      <c r="T294" s="109"/>
      <c r="U294" s="109"/>
    </row>
    <row r="295" spans="1:21" x14ac:dyDescent="0.25">
      <c r="A295" s="109"/>
      <c r="B295" s="109"/>
      <c r="C295" s="109"/>
      <c r="D295" s="109"/>
      <c r="E295" s="109"/>
      <c r="F295" s="109"/>
      <c r="G295" s="109"/>
      <c r="H295" s="109"/>
      <c r="I295" s="109"/>
      <c r="J295" s="109"/>
      <c r="K295" s="109"/>
      <c r="L295" s="109"/>
      <c r="M295" s="109"/>
      <c r="N295" s="109"/>
      <c r="O295" s="109"/>
      <c r="P295" s="109"/>
      <c r="Q295" s="109"/>
      <c r="R295" s="109"/>
      <c r="S295" s="109"/>
      <c r="T295" s="109"/>
      <c r="U295" s="109"/>
    </row>
    <row r="296" spans="1:21" x14ac:dyDescent="0.25">
      <c r="A296" s="109"/>
      <c r="B296" s="109"/>
      <c r="C296" s="109"/>
      <c r="D296" s="109"/>
      <c r="E296" s="109"/>
      <c r="F296" s="109"/>
      <c r="G296" s="109"/>
      <c r="H296" s="109"/>
      <c r="I296" s="109"/>
      <c r="J296" s="109"/>
      <c r="K296" s="109"/>
      <c r="L296" s="109"/>
      <c r="M296" s="109"/>
      <c r="N296" s="109"/>
      <c r="O296" s="109"/>
      <c r="P296" s="109"/>
      <c r="Q296" s="109"/>
      <c r="R296" s="109"/>
      <c r="S296" s="109"/>
      <c r="T296" s="109"/>
      <c r="U296" s="109"/>
    </row>
    <row r="297" spans="1:21" x14ac:dyDescent="0.25">
      <c r="A297" s="109"/>
      <c r="B297" s="109"/>
      <c r="C297" s="109"/>
      <c r="D297" s="109"/>
      <c r="E297" s="109"/>
      <c r="F297" s="109"/>
      <c r="G297" s="109"/>
      <c r="H297" s="109"/>
      <c r="I297" s="109"/>
      <c r="J297" s="109"/>
      <c r="K297" s="109"/>
      <c r="L297" s="109"/>
      <c r="M297" s="109"/>
      <c r="N297" s="109"/>
      <c r="O297" s="109"/>
      <c r="P297" s="109"/>
      <c r="Q297" s="109"/>
      <c r="R297" s="109"/>
      <c r="S297" s="109"/>
      <c r="T297" s="109"/>
      <c r="U297" s="109"/>
    </row>
    <row r="298" spans="1:21" x14ac:dyDescent="0.25">
      <c r="A298" s="109"/>
      <c r="B298" s="109"/>
      <c r="C298" s="109"/>
      <c r="D298" s="109"/>
      <c r="E298" s="109"/>
      <c r="F298" s="109"/>
      <c r="G298" s="109"/>
      <c r="H298" s="109"/>
      <c r="I298" s="109"/>
      <c r="J298" s="109"/>
      <c r="K298" s="109"/>
      <c r="L298" s="109"/>
      <c r="M298" s="109"/>
      <c r="N298" s="109"/>
      <c r="O298" s="109"/>
      <c r="P298" s="109"/>
      <c r="Q298" s="109"/>
      <c r="R298" s="109"/>
      <c r="S298" s="109"/>
      <c r="T298" s="109"/>
      <c r="U298" s="109"/>
    </row>
    <row r="299" spans="1:21" x14ac:dyDescent="0.25">
      <c r="A299" s="109"/>
      <c r="B299" s="109"/>
      <c r="C299" s="109"/>
      <c r="D299" s="109"/>
      <c r="E299" s="109"/>
      <c r="F299" s="109"/>
      <c r="G299" s="109"/>
      <c r="H299" s="109"/>
      <c r="I299" s="109"/>
      <c r="J299" s="109"/>
      <c r="K299" s="109"/>
      <c r="L299" s="109"/>
      <c r="M299" s="109"/>
      <c r="N299" s="109"/>
      <c r="O299" s="109"/>
      <c r="P299" s="109"/>
      <c r="Q299" s="109"/>
      <c r="R299" s="109"/>
      <c r="S299" s="109"/>
      <c r="T299" s="109"/>
      <c r="U299" s="109"/>
    </row>
  </sheetData>
  <pageMargins left="0.75" right="0.75" top="1" bottom="1" header="0.511811023622047" footer="0.511811023622047"/>
  <pageSetup paperSize="9" orientation="portrait" horizontalDpi="300" verticalDpi="30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395"/>
  <sheetViews>
    <sheetView showGridLines="0" tabSelected="1" zoomScale="90" zoomScaleNormal="90" workbookViewId="0">
      <pane xSplit="1" ySplit="5" topLeftCell="B31" activePane="bottomRight" state="frozen"/>
      <selection pane="topRight" activeCell="D1" sqref="D1"/>
      <selection pane="bottomLeft" activeCell="A19" sqref="A19"/>
      <selection pane="bottomRight" activeCell="D42" sqref="D42"/>
    </sheetView>
  </sheetViews>
  <sheetFormatPr baseColWidth="10" defaultColWidth="38" defaultRowHeight="15" outlineLevelRow="1" x14ac:dyDescent="0.25"/>
  <cols>
    <col min="1" max="1" width="38" style="145"/>
    <col min="2" max="2" width="15.7109375" style="146" customWidth="1"/>
    <col min="3" max="6" width="29.5703125" style="146" customWidth="1"/>
    <col min="7" max="16384" width="38" style="146"/>
  </cols>
  <sheetData>
    <row r="1" spans="1:9" ht="15" customHeight="1" x14ac:dyDescent="0.25">
      <c r="A1" s="200" t="s">
        <v>509</v>
      </c>
      <c r="B1" s="109"/>
      <c r="C1" s="109"/>
      <c r="D1" s="109"/>
      <c r="E1" s="109"/>
      <c r="F1" s="109"/>
      <c r="G1" s="109"/>
      <c r="H1" s="109"/>
      <c r="I1" s="109"/>
    </row>
    <row r="2" spans="1:9" ht="15" customHeight="1" x14ac:dyDescent="0.25">
      <c r="A2" s="258" t="s">
        <v>510</v>
      </c>
      <c r="B2" s="258"/>
      <c r="C2" s="258"/>
      <c r="D2" s="258"/>
      <c r="E2" s="258"/>
      <c r="F2" s="258"/>
      <c r="G2" s="258"/>
      <c r="H2" s="109"/>
      <c r="I2" s="109"/>
    </row>
    <row r="3" spans="1:9" ht="15" customHeight="1" x14ac:dyDescent="0.25">
      <c r="A3" s="108"/>
      <c r="B3" s="109"/>
      <c r="C3" s="109"/>
      <c r="D3" s="109"/>
      <c r="E3" s="109"/>
      <c r="F3" s="109"/>
      <c r="G3" s="109"/>
      <c r="H3" s="109"/>
      <c r="I3" s="109"/>
    </row>
    <row r="4" spans="1:9" ht="15" customHeight="1" x14ac:dyDescent="0.25">
      <c r="A4" s="257" t="s">
        <v>511</v>
      </c>
      <c r="B4" s="257"/>
      <c r="C4" s="257"/>
      <c r="D4" s="257"/>
      <c r="E4" s="257"/>
      <c r="F4" s="257"/>
      <c r="G4" s="257"/>
      <c r="H4" s="109"/>
      <c r="I4" s="109"/>
    </row>
    <row r="5" spans="1:9" ht="15" customHeight="1" x14ac:dyDescent="0.25">
      <c r="A5" s="149" t="s">
        <v>196</v>
      </c>
      <c r="B5" s="219" t="s">
        <v>41</v>
      </c>
      <c r="C5" s="150" t="s">
        <v>512</v>
      </c>
      <c r="D5" s="150" t="s">
        <v>513</v>
      </c>
      <c r="E5" s="150" t="s">
        <v>514</v>
      </c>
      <c r="F5" s="150" t="s">
        <v>515</v>
      </c>
      <c r="G5" s="220" t="s">
        <v>222</v>
      </c>
      <c r="H5" s="109"/>
      <c r="I5" s="109"/>
    </row>
    <row r="6" spans="1:9" ht="27.75" customHeight="1" outlineLevel="1" x14ac:dyDescent="0.25">
      <c r="A6" s="129" t="s">
        <v>227</v>
      </c>
      <c r="B6" s="221" t="s">
        <v>54</v>
      </c>
      <c r="C6" s="222">
        <v>0</v>
      </c>
      <c r="D6" s="222">
        <v>0.2</v>
      </c>
      <c r="E6" s="222">
        <v>0</v>
      </c>
      <c r="F6" s="223">
        <v>0</v>
      </c>
      <c r="G6" s="224" t="s">
        <v>516</v>
      </c>
      <c r="H6" s="109"/>
      <c r="I6" s="109"/>
    </row>
    <row r="7" spans="1:9" ht="27.75" customHeight="1" outlineLevel="1" x14ac:dyDescent="0.25">
      <c r="A7" s="129" t="s">
        <v>201</v>
      </c>
      <c r="B7" s="221" t="s">
        <v>54</v>
      </c>
      <c r="C7" s="222">
        <v>0</v>
      </c>
      <c r="D7" s="222">
        <v>0.05</v>
      </c>
      <c r="E7" s="222">
        <v>-0.15</v>
      </c>
      <c r="F7" s="223">
        <v>0</v>
      </c>
      <c r="G7" s="224" t="s">
        <v>517</v>
      </c>
      <c r="H7" s="109"/>
      <c r="I7" s="109"/>
    </row>
    <row r="8" spans="1:9" ht="27.75" customHeight="1" outlineLevel="1" x14ac:dyDescent="0.25">
      <c r="A8" s="129" t="s">
        <v>205</v>
      </c>
      <c r="B8" s="221" t="s">
        <v>54</v>
      </c>
      <c r="C8" s="222">
        <v>0</v>
      </c>
      <c r="D8" s="222">
        <v>0.03</v>
      </c>
      <c r="E8" s="222">
        <v>-0.09</v>
      </c>
      <c r="F8" s="223">
        <v>0</v>
      </c>
      <c r="G8" s="224" t="s">
        <v>518</v>
      </c>
      <c r="H8" s="109"/>
      <c r="I8" s="109"/>
    </row>
    <row r="9" spans="1:9" ht="27.75" customHeight="1" outlineLevel="1" x14ac:dyDescent="0.25">
      <c r="A9" s="129" t="s">
        <v>307</v>
      </c>
      <c r="B9" s="221" t="s">
        <v>54</v>
      </c>
      <c r="C9" s="222">
        <v>0</v>
      </c>
      <c r="D9" s="222">
        <v>-0.05</v>
      </c>
      <c r="E9" s="222">
        <v>0.1</v>
      </c>
      <c r="F9" s="223">
        <v>0</v>
      </c>
      <c r="G9" s="224" t="s">
        <v>519</v>
      </c>
      <c r="H9" s="109"/>
      <c r="I9" s="109"/>
    </row>
    <row r="10" spans="1:9" ht="27.75" customHeight="1" outlineLevel="1" x14ac:dyDescent="0.25">
      <c r="A10" s="129" t="s">
        <v>263</v>
      </c>
      <c r="B10" s="221" t="s">
        <v>54</v>
      </c>
      <c r="C10" s="222">
        <v>0</v>
      </c>
      <c r="D10" s="222">
        <v>-0.05</v>
      </c>
      <c r="E10" s="222">
        <v>0.1</v>
      </c>
      <c r="F10" s="223">
        <v>0</v>
      </c>
      <c r="G10" s="224" t="s">
        <v>520</v>
      </c>
      <c r="H10" s="109"/>
      <c r="I10" s="109"/>
    </row>
    <row r="11" spans="1:9" ht="27.75" customHeight="1" outlineLevel="1" x14ac:dyDescent="0.25">
      <c r="A11" s="129" t="s">
        <v>521</v>
      </c>
      <c r="B11" s="221" t="s">
        <v>54</v>
      </c>
      <c r="C11" s="222">
        <v>0</v>
      </c>
      <c r="D11" s="222">
        <v>0.13</v>
      </c>
      <c r="E11" s="222">
        <v>-0.25</v>
      </c>
      <c r="F11" s="223">
        <v>0</v>
      </c>
      <c r="G11" s="224" t="s">
        <v>522</v>
      </c>
      <c r="H11" s="109"/>
      <c r="I11" s="109"/>
    </row>
    <row r="12" spans="1:9" ht="15" customHeight="1" x14ac:dyDescent="0.25">
      <c r="A12" s="108"/>
      <c r="B12" s="109"/>
      <c r="C12" s="109"/>
      <c r="D12" s="109"/>
      <c r="E12" s="109"/>
      <c r="F12" s="109"/>
      <c r="G12" s="109"/>
      <c r="H12" s="109"/>
      <c r="I12" s="109"/>
    </row>
    <row r="13" spans="1:9" ht="15" customHeight="1" x14ac:dyDescent="0.25">
      <c r="A13" s="257" t="s">
        <v>523</v>
      </c>
      <c r="B13" s="257"/>
      <c r="C13" s="257"/>
      <c r="D13" s="257"/>
      <c r="E13" s="257"/>
      <c r="F13" s="257"/>
      <c r="G13" s="257"/>
      <c r="H13" s="109"/>
      <c r="I13" s="109"/>
    </row>
    <row r="14" spans="1:9" ht="15" customHeight="1" x14ac:dyDescent="0.25">
      <c r="A14" s="225" t="s">
        <v>196</v>
      </c>
      <c r="B14" s="220" t="s">
        <v>41</v>
      </c>
      <c r="C14" s="226" t="s">
        <v>512</v>
      </c>
      <c r="D14" s="226" t="s">
        <v>513</v>
      </c>
      <c r="E14" s="226" t="s">
        <v>514</v>
      </c>
      <c r="F14" s="226" t="s">
        <v>515</v>
      </c>
      <c r="G14" s="220" t="s">
        <v>222</v>
      </c>
      <c r="H14" s="109"/>
      <c r="I14" s="109"/>
    </row>
    <row r="15" spans="1:9" ht="27.75" customHeight="1" x14ac:dyDescent="0.25">
      <c r="A15" s="227" t="s">
        <v>524</v>
      </c>
      <c r="B15" s="228" t="s">
        <v>46</v>
      </c>
      <c r="C15" s="229">
        <f>Toneladas_Procesadas*(1+C$11)</f>
        <v>10000000</v>
      </c>
      <c r="D15" s="229">
        <f>Toneladas_Procesadas*(1+D$11)</f>
        <v>11299999.999999998</v>
      </c>
      <c r="E15" s="229">
        <f>Toneladas_Procesadas*(1+E$11)</f>
        <v>7500000</v>
      </c>
      <c r="F15" s="229">
        <f>Toneladas_Procesadas*(1+F$11)</f>
        <v>10000000</v>
      </c>
      <c r="G15" s="230"/>
      <c r="H15" s="109"/>
      <c r="I15" s="109"/>
    </row>
    <row r="16" spans="1:9" ht="18" customHeight="1" x14ac:dyDescent="0.25">
      <c r="A16" s="227" t="s">
        <v>227</v>
      </c>
      <c r="B16" s="228" t="s">
        <v>60</v>
      </c>
      <c r="C16" s="231">
        <f>Precio_Cobre*(1+C$6)</f>
        <v>4.2</v>
      </c>
      <c r="D16" s="231">
        <f>Precio_Cobre*(1+D$6)</f>
        <v>5.04</v>
      </c>
      <c r="E16" s="231">
        <f>Precio_Cobre*(1+E$6)</f>
        <v>4.2</v>
      </c>
      <c r="F16" s="231">
        <f>Precio_Cobre*(1+F$6)</f>
        <v>4.2</v>
      </c>
      <c r="G16" s="230"/>
      <c r="H16" s="109"/>
      <c r="I16" s="109"/>
    </row>
    <row r="17" spans="1:17" ht="18" customHeight="1" x14ac:dyDescent="0.25">
      <c r="A17" s="227" t="s">
        <v>486</v>
      </c>
      <c r="B17" s="228" t="s">
        <v>50</v>
      </c>
      <c r="C17" s="232">
        <f>Ley_Cobre*(1+C$7)</f>
        <v>5.4999999999999997E-3</v>
      </c>
      <c r="D17" s="232">
        <f>Ley_Cobre*(1+D$7)</f>
        <v>5.7749999999999998E-3</v>
      </c>
      <c r="E17" s="232">
        <f>Ley_Cobre*(1+E$7)</f>
        <v>4.6749999999999995E-3</v>
      </c>
      <c r="F17" s="232">
        <f>Ley_Cobre*(1+F$7)</f>
        <v>5.4999999999999997E-3</v>
      </c>
      <c r="G17" s="230"/>
      <c r="H17" s="109"/>
      <c r="I17" s="109"/>
    </row>
    <row r="18" spans="1:17" ht="18" customHeight="1" x14ac:dyDescent="0.25">
      <c r="A18" s="227" t="s">
        <v>205</v>
      </c>
      <c r="B18" s="228" t="s">
        <v>54</v>
      </c>
      <c r="C18" s="233">
        <f>Recuperacion_Metalurgica*(1+C$8)</f>
        <v>0.88</v>
      </c>
      <c r="D18" s="233">
        <f>Recuperacion_Metalurgica*(1+D$8)</f>
        <v>0.90639999999999998</v>
      </c>
      <c r="E18" s="233">
        <f>Recuperacion_Metalurgica*(1+E$8)</f>
        <v>0.80080000000000007</v>
      </c>
      <c r="F18" s="233">
        <f>Recuperacion_Metalurgica*(1+F$8)</f>
        <v>0.88</v>
      </c>
      <c r="G18" s="230"/>
      <c r="H18" s="109"/>
      <c r="I18" s="109"/>
    </row>
    <row r="19" spans="1:17" ht="18" customHeight="1" x14ac:dyDescent="0.25">
      <c r="A19" s="227" t="s">
        <v>307</v>
      </c>
      <c r="B19" s="228" t="s">
        <v>525</v>
      </c>
      <c r="C19" s="234">
        <f>CAPEX_Inicial_Total*(1+C$9)</f>
        <v>-739200000</v>
      </c>
      <c r="D19" s="234">
        <f>CAPEX_Inicial_Total*(1+D$9)</f>
        <v>-702240000</v>
      </c>
      <c r="E19" s="234">
        <f>CAPEX_Inicial_Total*(1+E$9)</f>
        <v>-813120000.00000012</v>
      </c>
      <c r="F19" s="234">
        <f>CAPEX_Inicial_Total*(1+F$9)</f>
        <v>-739200000</v>
      </c>
      <c r="G19" s="230"/>
      <c r="H19" s="109"/>
      <c r="I19" s="109"/>
    </row>
    <row r="20" spans="1:17" ht="18" customHeight="1" x14ac:dyDescent="0.25">
      <c r="A20" s="227" t="s">
        <v>540</v>
      </c>
      <c r="B20" s="228" t="s">
        <v>525</v>
      </c>
      <c r="C20" s="234">
        <f>SUM(C55:Q55)</f>
        <v>-2025000000</v>
      </c>
      <c r="D20" s="234">
        <f>SUM(C93:Q93)</f>
        <v>-2023453925</v>
      </c>
      <c r="E20" s="234">
        <f>SUM(C131:Q131)</f>
        <v>-1865778750.0000002</v>
      </c>
      <c r="F20" s="234">
        <f>SUM(C169:Q169)</f>
        <v>-1981550000</v>
      </c>
      <c r="G20" s="230"/>
      <c r="H20" s="109"/>
      <c r="I20" s="109"/>
    </row>
    <row r="21" spans="1:17" ht="18" customHeight="1" x14ac:dyDescent="0.25">
      <c r="A21" s="227" t="s">
        <v>526</v>
      </c>
      <c r="B21" s="228" t="s">
        <v>525</v>
      </c>
      <c r="C21" s="234">
        <f>Q62</f>
        <v>-73920000</v>
      </c>
      <c r="D21" s="234">
        <f>Q100</f>
        <v>-70224000</v>
      </c>
      <c r="E21" s="234">
        <f>Q138</f>
        <v>-81312000.000000015</v>
      </c>
      <c r="F21" s="234">
        <f>Q176</f>
        <v>-73920000</v>
      </c>
      <c r="G21" s="109"/>
      <c r="H21" s="109"/>
      <c r="I21" s="109"/>
    </row>
    <row r="22" spans="1:17" ht="15" customHeight="1" x14ac:dyDescent="0.25"/>
    <row r="23" spans="1:17" ht="15" customHeight="1" x14ac:dyDescent="0.25">
      <c r="A23" s="257" t="s">
        <v>527</v>
      </c>
      <c r="B23" s="257"/>
      <c r="C23" s="257"/>
      <c r="D23" s="257"/>
      <c r="E23" s="257"/>
      <c r="F23" s="257"/>
      <c r="G23" s="257"/>
      <c r="H23" s="109"/>
      <c r="I23" s="109"/>
      <c r="J23" s="109"/>
      <c r="K23" s="109"/>
    </row>
    <row r="24" spans="1:17" ht="15" customHeight="1" x14ac:dyDescent="0.25">
      <c r="A24" s="110" t="s">
        <v>196</v>
      </c>
      <c r="B24" s="201" t="s">
        <v>41</v>
      </c>
      <c r="C24" s="111" t="s">
        <v>512</v>
      </c>
      <c r="D24" s="111" t="s">
        <v>513</v>
      </c>
      <c r="E24" s="111" t="s">
        <v>514</v>
      </c>
      <c r="F24" s="111" t="s">
        <v>515</v>
      </c>
      <c r="G24" s="201" t="s">
        <v>222</v>
      </c>
      <c r="H24" s="109"/>
      <c r="I24" s="109"/>
      <c r="J24" s="109"/>
      <c r="K24" s="109"/>
    </row>
    <row r="25" spans="1:17" ht="24.75" customHeight="1" x14ac:dyDescent="0.25">
      <c r="A25" s="235" t="s">
        <v>450</v>
      </c>
      <c r="B25" s="228" t="s">
        <v>10</v>
      </c>
      <c r="C25" s="236">
        <f>B65</f>
        <v>740433906.70642924</v>
      </c>
      <c r="D25" s="236">
        <f>B103</f>
        <v>1572326542.8453856</v>
      </c>
      <c r="E25" s="236">
        <f>B141</f>
        <v>-233307079.04582751</v>
      </c>
      <c r="F25" s="236">
        <f>B179</f>
        <v>626695754.78034043</v>
      </c>
      <c r="G25" s="230"/>
      <c r="H25" s="109"/>
      <c r="I25" s="109"/>
      <c r="J25" s="109"/>
      <c r="K25" s="109"/>
    </row>
    <row r="26" spans="1:17" ht="24.75" customHeight="1" x14ac:dyDescent="0.25">
      <c r="A26" s="235" t="s">
        <v>452</v>
      </c>
      <c r="B26" s="228" t="s">
        <v>54</v>
      </c>
      <c r="C26" s="237">
        <f>B66</f>
        <v>0.25684908406719242</v>
      </c>
      <c r="D26" s="237">
        <f>B104</f>
        <v>0.38570995674013497</v>
      </c>
      <c r="E26" s="237">
        <f>B142</f>
        <v>4.7185609977282938E-2</v>
      </c>
      <c r="F26" s="237">
        <f>B180</f>
        <v>0.22209348404955609</v>
      </c>
      <c r="G26" s="230"/>
      <c r="H26" s="109"/>
      <c r="I26" s="109"/>
      <c r="J26" s="109"/>
      <c r="K26" s="109"/>
    </row>
    <row r="27" spans="1:17" ht="48.75" x14ac:dyDescent="0.25">
      <c r="A27" s="235" t="s">
        <v>466</v>
      </c>
      <c r="B27" s="228" t="s">
        <v>60</v>
      </c>
      <c r="C27" s="238">
        <f>-(C19+NPV(WACC,C68:Q68))/NPV(WACC,C67:Q67)</f>
        <v>2.7455270027915093</v>
      </c>
      <c r="D27" s="238">
        <f>-(D19+NPV(WACC,D106:Q106))/NPV(WACC,D105:Q105)</f>
        <v>2.3023356768887768</v>
      </c>
      <c r="E27" s="238">
        <f>-(E19+NPV(WACC,E144:Q144))/NPV(WACC,E143:Q143)</f>
        <v>4.9947068850292782</v>
      </c>
      <c r="F27" s="238">
        <f>-(F19+NPV(WACC,F182:Q182))/NPV(WACC,F181:Q181)</f>
        <v>2.931277180309749</v>
      </c>
      <c r="G27" s="230" t="s">
        <v>528</v>
      </c>
      <c r="H27" s="109"/>
      <c r="I27" s="109"/>
      <c r="J27" s="109"/>
      <c r="K27" s="109"/>
    </row>
    <row r="28" spans="1:17" ht="36.75" x14ac:dyDescent="0.25">
      <c r="A28" s="235" t="s">
        <v>454</v>
      </c>
      <c r="B28" s="228" t="s">
        <v>446</v>
      </c>
      <c r="C28" s="239">
        <f>IFERROR((COUNTIF($B$64:$Q$64,"&lt;0")-1)+(-INDEX($B$64:$Q$64,COUNTIF($B$64:$Q$64,"&lt;0"))/INDEX($B$63:$Q$63,COUNTIF($B$64:$Q$64,"&lt;0")+1)),"N/A")</f>
        <v>3.7549603934902045</v>
      </c>
      <c r="D28" s="239">
        <f>IFERROR((COUNTIF($B$102:$Q$102,"&lt;0")-1)+(-INDEX($B$102:$Q$102,COUNTIF($B$102:$Q$102,"&lt;0"))/INDEX($B$101:$Q$101,COUNTIF($B$102:$Q$102,"&lt;0")+1)),"N/A")</f>
        <v>2.7743213013041261</v>
      </c>
      <c r="E28" s="239">
        <f>IFERROR((COUNTIF($B$140:$Q$140,"&lt;0")-1)+(-INDEX($B$140:$Q$140,COUNTIF($B$140:$Q$140,"&lt;0"))/INDEX($B$139:$Q$139,COUNTIF($B$140:$Q$140,"&lt;0")+1)),"N/A")</f>
        <v>10.157173887809988</v>
      </c>
      <c r="F28" s="239">
        <f>IFERROR((COUNTIF($B$178:$Q$178,"&lt;0")-1)+(-INDEX($B$178:$Q$178,COUNTIF($B$178:$Q$178,"&lt;0"))/INDEX($B$177:$Q$177,COUNTIF($B$178:$Q$178,"&lt;0")+1)),"N/A")</f>
        <v>4.406657237480565</v>
      </c>
      <c r="G28" s="230" t="s">
        <v>529</v>
      </c>
      <c r="H28" s="109"/>
      <c r="I28" s="109"/>
      <c r="J28" s="109"/>
      <c r="K28" s="109"/>
    </row>
    <row r="29" spans="1:17" x14ac:dyDescent="0.25">
      <c r="A29" s="108"/>
      <c r="B29" s="109"/>
      <c r="C29" s="208"/>
      <c r="D29" s="208"/>
      <c r="E29" s="208"/>
      <c r="F29" s="208"/>
      <c r="G29" s="108"/>
      <c r="H29" s="109"/>
      <c r="I29" s="109"/>
      <c r="J29" s="109"/>
      <c r="K29" s="109"/>
    </row>
    <row r="30" spans="1:17" ht="27.75" customHeight="1" x14ac:dyDescent="0.25">
      <c r="A30" s="108"/>
      <c r="B30" s="109"/>
      <c r="C30" s="208"/>
      <c r="D30" s="208"/>
      <c r="E30" s="208"/>
      <c r="F30" s="208"/>
      <c r="G30" s="108"/>
      <c r="H30" s="109"/>
      <c r="I30" s="109"/>
      <c r="J30" s="109"/>
      <c r="K30" s="109"/>
    </row>
    <row r="31" spans="1:17" x14ac:dyDescent="0.25">
      <c r="A31" s="257" t="s">
        <v>530</v>
      </c>
      <c r="B31" s="257"/>
      <c r="C31" s="257"/>
      <c r="D31" s="257"/>
      <c r="E31" s="257"/>
      <c r="F31" s="257"/>
      <c r="G31" s="257"/>
      <c r="H31" s="257"/>
      <c r="I31" s="257"/>
      <c r="J31" s="257"/>
      <c r="K31" s="257"/>
      <c r="L31" s="257"/>
      <c r="M31" s="257"/>
      <c r="N31" s="257"/>
      <c r="O31" s="257"/>
      <c r="P31" s="257"/>
      <c r="Q31" s="257"/>
    </row>
    <row r="32" spans="1:17" ht="27.75" customHeight="1" x14ac:dyDescent="0.25">
      <c r="A32" s="108"/>
      <c r="B32" s="109"/>
      <c r="C32" s="208"/>
      <c r="D32" s="208"/>
      <c r="E32" s="208"/>
      <c r="F32" s="208"/>
      <c r="G32" s="108"/>
      <c r="H32" s="109"/>
      <c r="I32" s="109"/>
      <c r="J32" s="109"/>
      <c r="K32" s="109"/>
    </row>
    <row r="33" spans="1:17" x14ac:dyDescent="0.25">
      <c r="A33" s="257" t="s">
        <v>531</v>
      </c>
      <c r="B33" s="257"/>
      <c r="C33" s="257"/>
      <c r="D33" s="257"/>
      <c r="E33" s="257"/>
      <c r="F33" s="257"/>
      <c r="G33" s="257"/>
      <c r="H33" s="257"/>
      <c r="I33" s="257"/>
      <c r="J33" s="257"/>
      <c r="K33" s="257"/>
      <c r="L33" s="257"/>
      <c r="M33" s="257"/>
      <c r="N33" s="257"/>
      <c r="O33" s="257"/>
      <c r="P33" s="257"/>
      <c r="Q33" s="257"/>
    </row>
    <row r="34" spans="1:17" x14ac:dyDescent="0.25">
      <c r="A34" s="256"/>
      <c r="B34" s="256"/>
      <c r="C34" s="256"/>
      <c r="D34" s="256"/>
      <c r="E34" s="256"/>
      <c r="F34" s="256"/>
      <c r="G34" s="256"/>
      <c r="H34" s="256"/>
      <c r="I34" s="256"/>
      <c r="J34" s="256"/>
      <c r="K34" s="256"/>
      <c r="L34" s="256"/>
      <c r="M34" s="256"/>
      <c r="N34" s="256"/>
      <c r="O34" s="256"/>
      <c r="P34" s="256"/>
      <c r="Q34" s="256"/>
    </row>
    <row r="35" spans="1:17" outlineLevel="1" x14ac:dyDescent="0.25">
      <c r="A35" s="110" t="s">
        <v>196</v>
      </c>
      <c r="B35" s="201" t="s">
        <v>399</v>
      </c>
      <c r="C35" s="209" t="s">
        <v>400</v>
      </c>
      <c r="D35" s="209" t="s">
        <v>401</v>
      </c>
      <c r="E35" s="209" t="s">
        <v>402</v>
      </c>
      <c r="F35" s="209" t="s">
        <v>403</v>
      </c>
      <c r="G35" s="111" t="s">
        <v>404</v>
      </c>
      <c r="H35" s="111" t="s">
        <v>405</v>
      </c>
      <c r="I35" s="111" t="s">
        <v>406</v>
      </c>
      <c r="J35" s="111" t="s">
        <v>407</v>
      </c>
      <c r="K35" s="111" t="s">
        <v>408</v>
      </c>
      <c r="L35" s="111" t="s">
        <v>409</v>
      </c>
      <c r="M35" s="111" t="s">
        <v>410</v>
      </c>
      <c r="N35" s="111" t="s">
        <v>411</v>
      </c>
      <c r="O35" s="111" t="s">
        <v>412</v>
      </c>
      <c r="P35" s="111" t="s">
        <v>413</v>
      </c>
      <c r="Q35" s="111" t="s">
        <v>414</v>
      </c>
    </row>
    <row r="36" spans="1:17" outlineLevel="1" x14ac:dyDescent="0.25">
      <c r="A36" s="123" t="s">
        <v>415</v>
      </c>
      <c r="B36" s="240"/>
      <c r="C36" s="115">
        <f>+'Cash Flow'!C6</f>
        <v>1</v>
      </c>
      <c r="D36" s="115">
        <f>+'Cash Flow'!D6</f>
        <v>1</v>
      </c>
      <c r="E36" s="115">
        <f>+'Cash Flow'!E6</f>
        <v>1</v>
      </c>
      <c r="F36" s="115">
        <f>+'Cash Flow'!F6</f>
        <v>1</v>
      </c>
      <c r="G36" s="115">
        <f>+'Cash Flow'!G6</f>
        <v>1</v>
      </c>
      <c r="H36" s="115">
        <f>+'Cash Flow'!H6</f>
        <v>1</v>
      </c>
      <c r="I36" s="115">
        <f>+'Cash Flow'!I6</f>
        <v>1</v>
      </c>
      <c r="J36" s="115">
        <f>+'Cash Flow'!J6</f>
        <v>1</v>
      </c>
      <c r="K36" s="115">
        <f>+'Cash Flow'!K6</f>
        <v>1</v>
      </c>
      <c r="L36" s="115">
        <f>+'Cash Flow'!L6</f>
        <v>1</v>
      </c>
      <c r="M36" s="115">
        <f>+'Cash Flow'!M6</f>
        <v>1</v>
      </c>
      <c r="N36" s="115">
        <f>+'Cash Flow'!N6</f>
        <v>1</v>
      </c>
      <c r="O36" s="115">
        <f>+'Cash Flow'!O6</f>
        <v>1</v>
      </c>
      <c r="P36" s="115">
        <f>+'Cash Flow'!P6</f>
        <v>1</v>
      </c>
      <c r="Q36" s="115">
        <f>+'Cash Flow'!Q6</f>
        <v>1</v>
      </c>
    </row>
    <row r="37" spans="1:17" outlineLevel="1" x14ac:dyDescent="0.25">
      <c r="A37" s="123" t="s">
        <v>532</v>
      </c>
      <c r="B37" s="241"/>
      <c r="C37" s="119">
        <f t="shared" ref="C37:Q37" si="0">$C$15*C36</f>
        <v>10000000</v>
      </c>
      <c r="D37" s="119">
        <f t="shared" si="0"/>
        <v>10000000</v>
      </c>
      <c r="E37" s="119">
        <f t="shared" si="0"/>
        <v>10000000</v>
      </c>
      <c r="F37" s="119">
        <f t="shared" si="0"/>
        <v>10000000</v>
      </c>
      <c r="G37" s="119">
        <f t="shared" si="0"/>
        <v>10000000</v>
      </c>
      <c r="H37" s="119">
        <f t="shared" si="0"/>
        <v>10000000</v>
      </c>
      <c r="I37" s="119">
        <f t="shared" si="0"/>
        <v>10000000</v>
      </c>
      <c r="J37" s="119">
        <f t="shared" si="0"/>
        <v>10000000</v>
      </c>
      <c r="K37" s="119">
        <f t="shared" si="0"/>
        <v>10000000</v>
      </c>
      <c r="L37" s="119">
        <f t="shared" si="0"/>
        <v>10000000</v>
      </c>
      <c r="M37" s="119">
        <f t="shared" si="0"/>
        <v>10000000</v>
      </c>
      <c r="N37" s="119">
        <f t="shared" si="0"/>
        <v>10000000</v>
      </c>
      <c r="O37" s="119">
        <f t="shared" si="0"/>
        <v>10000000</v>
      </c>
      <c r="P37" s="119">
        <f t="shared" si="0"/>
        <v>10000000</v>
      </c>
      <c r="Q37" s="119">
        <f t="shared" si="0"/>
        <v>10000000</v>
      </c>
    </row>
    <row r="38" spans="1:17" outlineLevel="1" x14ac:dyDescent="0.25">
      <c r="A38" s="123" t="s">
        <v>201</v>
      </c>
      <c r="B38" s="242"/>
      <c r="C38" s="122">
        <f t="shared" ref="C38:Q38" si="1">$C$17</f>
        <v>5.4999999999999997E-3</v>
      </c>
      <c r="D38" s="122">
        <f t="shared" si="1"/>
        <v>5.4999999999999997E-3</v>
      </c>
      <c r="E38" s="122">
        <f t="shared" si="1"/>
        <v>5.4999999999999997E-3</v>
      </c>
      <c r="F38" s="122">
        <f t="shared" si="1"/>
        <v>5.4999999999999997E-3</v>
      </c>
      <c r="G38" s="122">
        <f t="shared" si="1"/>
        <v>5.4999999999999997E-3</v>
      </c>
      <c r="H38" s="122">
        <f t="shared" si="1"/>
        <v>5.4999999999999997E-3</v>
      </c>
      <c r="I38" s="122">
        <f t="shared" si="1"/>
        <v>5.4999999999999997E-3</v>
      </c>
      <c r="J38" s="122">
        <f t="shared" si="1"/>
        <v>5.4999999999999997E-3</v>
      </c>
      <c r="K38" s="122">
        <f t="shared" si="1"/>
        <v>5.4999999999999997E-3</v>
      </c>
      <c r="L38" s="122">
        <f t="shared" si="1"/>
        <v>5.4999999999999997E-3</v>
      </c>
      <c r="M38" s="122">
        <f t="shared" si="1"/>
        <v>5.4999999999999997E-3</v>
      </c>
      <c r="N38" s="122">
        <f t="shared" si="1"/>
        <v>5.4999999999999997E-3</v>
      </c>
      <c r="O38" s="122">
        <f t="shared" si="1"/>
        <v>5.4999999999999997E-3</v>
      </c>
      <c r="P38" s="122">
        <f t="shared" si="1"/>
        <v>5.4999999999999997E-3</v>
      </c>
      <c r="Q38" s="122">
        <f t="shared" si="1"/>
        <v>5.4999999999999997E-3</v>
      </c>
    </row>
    <row r="39" spans="1:17" outlineLevel="1" x14ac:dyDescent="0.25">
      <c r="A39" s="123" t="s">
        <v>416</v>
      </c>
      <c r="B39" s="118"/>
      <c r="C39" s="124">
        <f t="shared" ref="C39:Q39" si="2">C37*C38</f>
        <v>55000</v>
      </c>
      <c r="D39" s="124">
        <f t="shared" si="2"/>
        <v>55000</v>
      </c>
      <c r="E39" s="124">
        <f t="shared" si="2"/>
        <v>55000</v>
      </c>
      <c r="F39" s="124">
        <f t="shared" si="2"/>
        <v>55000</v>
      </c>
      <c r="G39" s="124">
        <f t="shared" si="2"/>
        <v>55000</v>
      </c>
      <c r="H39" s="124">
        <f t="shared" si="2"/>
        <v>55000</v>
      </c>
      <c r="I39" s="124">
        <f t="shared" si="2"/>
        <v>55000</v>
      </c>
      <c r="J39" s="124">
        <f t="shared" si="2"/>
        <v>55000</v>
      </c>
      <c r="K39" s="124">
        <f t="shared" si="2"/>
        <v>55000</v>
      </c>
      <c r="L39" s="124">
        <f t="shared" si="2"/>
        <v>55000</v>
      </c>
      <c r="M39" s="124">
        <f t="shared" si="2"/>
        <v>55000</v>
      </c>
      <c r="N39" s="124">
        <f t="shared" si="2"/>
        <v>55000</v>
      </c>
      <c r="O39" s="124">
        <f t="shared" si="2"/>
        <v>55000</v>
      </c>
      <c r="P39" s="124">
        <f t="shared" si="2"/>
        <v>55000</v>
      </c>
      <c r="Q39" s="124">
        <f t="shared" si="2"/>
        <v>55000</v>
      </c>
    </row>
    <row r="40" spans="1:17" outlineLevel="1" x14ac:dyDescent="0.25">
      <c r="A40" s="123" t="s">
        <v>205</v>
      </c>
      <c r="B40" s="243"/>
      <c r="C40" s="125">
        <f t="shared" ref="C40:Q40" si="3">$C$18</f>
        <v>0.88</v>
      </c>
      <c r="D40" s="125">
        <f t="shared" si="3"/>
        <v>0.88</v>
      </c>
      <c r="E40" s="125">
        <f t="shared" si="3"/>
        <v>0.88</v>
      </c>
      <c r="F40" s="125">
        <f t="shared" si="3"/>
        <v>0.88</v>
      </c>
      <c r="G40" s="125">
        <f t="shared" si="3"/>
        <v>0.88</v>
      </c>
      <c r="H40" s="125">
        <f t="shared" si="3"/>
        <v>0.88</v>
      </c>
      <c r="I40" s="125">
        <f t="shared" si="3"/>
        <v>0.88</v>
      </c>
      <c r="J40" s="125">
        <f t="shared" si="3"/>
        <v>0.88</v>
      </c>
      <c r="K40" s="125">
        <f t="shared" si="3"/>
        <v>0.88</v>
      </c>
      <c r="L40" s="125">
        <f t="shared" si="3"/>
        <v>0.88</v>
      </c>
      <c r="M40" s="125">
        <f t="shared" si="3"/>
        <v>0.88</v>
      </c>
      <c r="N40" s="125">
        <f t="shared" si="3"/>
        <v>0.88</v>
      </c>
      <c r="O40" s="125">
        <f t="shared" si="3"/>
        <v>0.88</v>
      </c>
      <c r="P40" s="125">
        <f t="shared" si="3"/>
        <v>0.88</v>
      </c>
      <c r="Q40" s="125">
        <f t="shared" si="3"/>
        <v>0.88</v>
      </c>
    </row>
    <row r="41" spans="1:17" outlineLevel="1" x14ac:dyDescent="0.25">
      <c r="A41" s="123" t="s">
        <v>417</v>
      </c>
      <c r="B41" s="118"/>
      <c r="C41" s="124">
        <f t="shared" ref="C41:Q41" si="4">C39*C40</f>
        <v>48400</v>
      </c>
      <c r="D41" s="124">
        <f t="shared" si="4"/>
        <v>48400</v>
      </c>
      <c r="E41" s="124">
        <f t="shared" si="4"/>
        <v>48400</v>
      </c>
      <c r="F41" s="124">
        <f t="shared" si="4"/>
        <v>48400</v>
      </c>
      <c r="G41" s="124">
        <f t="shared" si="4"/>
        <v>48400</v>
      </c>
      <c r="H41" s="124">
        <f t="shared" si="4"/>
        <v>48400</v>
      </c>
      <c r="I41" s="124">
        <f t="shared" si="4"/>
        <v>48400</v>
      </c>
      <c r="J41" s="124">
        <f t="shared" si="4"/>
        <v>48400</v>
      </c>
      <c r="K41" s="124">
        <f t="shared" si="4"/>
        <v>48400</v>
      </c>
      <c r="L41" s="124">
        <f t="shared" si="4"/>
        <v>48400</v>
      </c>
      <c r="M41" s="124">
        <f t="shared" si="4"/>
        <v>48400</v>
      </c>
      <c r="N41" s="124">
        <f t="shared" si="4"/>
        <v>48400</v>
      </c>
      <c r="O41" s="124">
        <f t="shared" si="4"/>
        <v>48400</v>
      </c>
      <c r="P41" s="124">
        <f t="shared" si="4"/>
        <v>48400</v>
      </c>
      <c r="Q41" s="124">
        <f t="shared" si="4"/>
        <v>48400</v>
      </c>
    </row>
    <row r="42" spans="1:17" outlineLevel="1" x14ac:dyDescent="0.25">
      <c r="A42" s="123" t="s">
        <v>56</v>
      </c>
      <c r="B42" s="243"/>
      <c r="C42" s="125">
        <f t="shared" ref="C42:Q42" si="5">Payability</f>
        <v>0.96499999999999997</v>
      </c>
      <c r="D42" s="125">
        <f t="shared" si="5"/>
        <v>0.96499999999999997</v>
      </c>
      <c r="E42" s="125">
        <f t="shared" si="5"/>
        <v>0.96499999999999997</v>
      </c>
      <c r="F42" s="125">
        <f t="shared" si="5"/>
        <v>0.96499999999999997</v>
      </c>
      <c r="G42" s="125">
        <f t="shared" si="5"/>
        <v>0.96499999999999997</v>
      </c>
      <c r="H42" s="125">
        <f t="shared" si="5"/>
        <v>0.96499999999999997</v>
      </c>
      <c r="I42" s="125">
        <f t="shared" si="5"/>
        <v>0.96499999999999997</v>
      </c>
      <c r="J42" s="125">
        <f t="shared" si="5"/>
        <v>0.96499999999999997</v>
      </c>
      <c r="K42" s="125">
        <f t="shared" si="5"/>
        <v>0.96499999999999997</v>
      </c>
      <c r="L42" s="125">
        <f t="shared" si="5"/>
        <v>0.96499999999999997</v>
      </c>
      <c r="M42" s="125">
        <f t="shared" si="5"/>
        <v>0.96499999999999997</v>
      </c>
      <c r="N42" s="125">
        <f t="shared" si="5"/>
        <v>0.96499999999999997</v>
      </c>
      <c r="O42" s="125">
        <f t="shared" si="5"/>
        <v>0.96499999999999997</v>
      </c>
      <c r="P42" s="125">
        <f t="shared" si="5"/>
        <v>0.96499999999999997</v>
      </c>
      <c r="Q42" s="125">
        <f t="shared" si="5"/>
        <v>0.96499999999999997</v>
      </c>
    </row>
    <row r="43" spans="1:17" outlineLevel="1" x14ac:dyDescent="0.25">
      <c r="A43" s="123" t="s">
        <v>267</v>
      </c>
      <c r="B43" s="118"/>
      <c r="C43" s="124">
        <f t="shared" ref="C43:Q43" si="6">C41*C42</f>
        <v>46706</v>
      </c>
      <c r="D43" s="124">
        <f t="shared" si="6"/>
        <v>46706</v>
      </c>
      <c r="E43" s="124">
        <f t="shared" si="6"/>
        <v>46706</v>
      </c>
      <c r="F43" s="124">
        <f t="shared" si="6"/>
        <v>46706</v>
      </c>
      <c r="G43" s="124">
        <f t="shared" si="6"/>
        <v>46706</v>
      </c>
      <c r="H43" s="124">
        <f t="shared" si="6"/>
        <v>46706</v>
      </c>
      <c r="I43" s="124">
        <f t="shared" si="6"/>
        <v>46706</v>
      </c>
      <c r="J43" s="124">
        <f t="shared" si="6"/>
        <v>46706</v>
      </c>
      <c r="K43" s="124">
        <f t="shared" si="6"/>
        <v>46706</v>
      </c>
      <c r="L43" s="124">
        <f t="shared" si="6"/>
        <v>46706</v>
      </c>
      <c r="M43" s="124">
        <f t="shared" si="6"/>
        <v>46706</v>
      </c>
      <c r="N43" s="124">
        <f t="shared" si="6"/>
        <v>46706</v>
      </c>
      <c r="O43" s="124">
        <f t="shared" si="6"/>
        <v>46706</v>
      </c>
      <c r="P43" s="124">
        <f t="shared" si="6"/>
        <v>46706</v>
      </c>
      <c r="Q43" s="124">
        <f t="shared" si="6"/>
        <v>46706</v>
      </c>
    </row>
    <row r="44" spans="1:17" outlineLevel="1" x14ac:dyDescent="0.25">
      <c r="A44" s="123" t="s">
        <v>269</v>
      </c>
      <c r="B44" s="118"/>
      <c r="C44" s="124">
        <f t="shared" ref="C44:Q44" si="7">C43*Factor_Conversion_TnLb</f>
        <v>102968981.72</v>
      </c>
      <c r="D44" s="124">
        <f t="shared" si="7"/>
        <v>102968981.72</v>
      </c>
      <c r="E44" s="124">
        <f t="shared" si="7"/>
        <v>102968981.72</v>
      </c>
      <c r="F44" s="124">
        <f t="shared" si="7"/>
        <v>102968981.72</v>
      </c>
      <c r="G44" s="124">
        <f t="shared" si="7"/>
        <v>102968981.72</v>
      </c>
      <c r="H44" s="124">
        <f t="shared" si="7"/>
        <v>102968981.72</v>
      </c>
      <c r="I44" s="124">
        <f t="shared" si="7"/>
        <v>102968981.72</v>
      </c>
      <c r="J44" s="124">
        <f t="shared" si="7"/>
        <v>102968981.72</v>
      </c>
      <c r="K44" s="124">
        <f t="shared" si="7"/>
        <v>102968981.72</v>
      </c>
      <c r="L44" s="124">
        <f t="shared" si="7"/>
        <v>102968981.72</v>
      </c>
      <c r="M44" s="124">
        <f t="shared" si="7"/>
        <v>102968981.72</v>
      </c>
      <c r="N44" s="124">
        <f t="shared" si="7"/>
        <v>102968981.72</v>
      </c>
      <c r="O44" s="124">
        <f t="shared" si="7"/>
        <v>102968981.72</v>
      </c>
      <c r="P44" s="124">
        <f t="shared" si="7"/>
        <v>102968981.72</v>
      </c>
      <c r="Q44" s="124">
        <f t="shared" si="7"/>
        <v>102968981.72</v>
      </c>
    </row>
    <row r="45" spans="1:17" outlineLevel="1" x14ac:dyDescent="0.25">
      <c r="A45" s="123" t="s">
        <v>227</v>
      </c>
      <c r="B45" s="244"/>
      <c r="C45" s="127">
        <f t="shared" ref="C45:Q45" si="8">$C$16</f>
        <v>4.2</v>
      </c>
      <c r="D45" s="127">
        <f t="shared" si="8"/>
        <v>4.2</v>
      </c>
      <c r="E45" s="127">
        <f t="shared" si="8"/>
        <v>4.2</v>
      </c>
      <c r="F45" s="127">
        <f t="shared" si="8"/>
        <v>4.2</v>
      </c>
      <c r="G45" s="127">
        <f t="shared" si="8"/>
        <v>4.2</v>
      </c>
      <c r="H45" s="127">
        <f t="shared" si="8"/>
        <v>4.2</v>
      </c>
      <c r="I45" s="127">
        <f t="shared" si="8"/>
        <v>4.2</v>
      </c>
      <c r="J45" s="127">
        <f t="shared" si="8"/>
        <v>4.2</v>
      </c>
      <c r="K45" s="127">
        <f t="shared" si="8"/>
        <v>4.2</v>
      </c>
      <c r="L45" s="127">
        <f t="shared" si="8"/>
        <v>4.2</v>
      </c>
      <c r="M45" s="127">
        <f t="shared" si="8"/>
        <v>4.2</v>
      </c>
      <c r="N45" s="127">
        <f t="shared" si="8"/>
        <v>4.2</v>
      </c>
      <c r="O45" s="127">
        <f t="shared" si="8"/>
        <v>4.2</v>
      </c>
      <c r="P45" s="127">
        <f t="shared" si="8"/>
        <v>4.2</v>
      </c>
      <c r="Q45" s="127">
        <f t="shared" si="8"/>
        <v>4.2</v>
      </c>
    </row>
    <row r="46" spans="1:17" outlineLevel="1" x14ac:dyDescent="0.25">
      <c r="A46" s="245" t="s">
        <v>228</v>
      </c>
      <c r="B46" s="246"/>
      <c r="C46" s="247">
        <f t="shared" ref="C46:Q46" si="9">C44*C45</f>
        <v>432469723.22400004</v>
      </c>
      <c r="D46" s="247">
        <f t="shared" si="9"/>
        <v>432469723.22400004</v>
      </c>
      <c r="E46" s="247">
        <f t="shared" si="9"/>
        <v>432469723.22400004</v>
      </c>
      <c r="F46" s="247">
        <f t="shared" si="9"/>
        <v>432469723.22400004</v>
      </c>
      <c r="G46" s="247">
        <f t="shared" si="9"/>
        <v>432469723.22400004</v>
      </c>
      <c r="H46" s="247">
        <f t="shared" si="9"/>
        <v>432469723.22400004</v>
      </c>
      <c r="I46" s="247">
        <f t="shared" si="9"/>
        <v>432469723.22400004</v>
      </c>
      <c r="J46" s="247">
        <f t="shared" si="9"/>
        <v>432469723.22400004</v>
      </c>
      <c r="K46" s="247">
        <f t="shared" si="9"/>
        <v>432469723.22400004</v>
      </c>
      <c r="L46" s="247">
        <f t="shared" si="9"/>
        <v>432469723.22400004</v>
      </c>
      <c r="M46" s="247">
        <f t="shared" si="9"/>
        <v>432469723.22400004</v>
      </c>
      <c r="N46" s="247">
        <f t="shared" si="9"/>
        <v>432469723.22400004</v>
      </c>
      <c r="O46" s="247">
        <f t="shared" si="9"/>
        <v>432469723.22400004</v>
      </c>
      <c r="P46" s="247">
        <f t="shared" si="9"/>
        <v>432469723.22400004</v>
      </c>
      <c r="Q46" s="247">
        <f t="shared" si="9"/>
        <v>432469723.22400004</v>
      </c>
    </row>
    <row r="47" spans="1:17" outlineLevel="1" x14ac:dyDescent="0.25">
      <c r="A47" s="129" t="s">
        <v>418</v>
      </c>
      <c r="B47" s="248"/>
      <c r="C47" s="131">
        <f t="shared" ref="C47:Q47" si="10">C41/Ley_Concentrado</f>
        <v>161333.33333333334</v>
      </c>
      <c r="D47" s="131">
        <f t="shared" si="10"/>
        <v>161333.33333333334</v>
      </c>
      <c r="E47" s="131">
        <f t="shared" si="10"/>
        <v>161333.33333333334</v>
      </c>
      <c r="F47" s="131">
        <f t="shared" si="10"/>
        <v>161333.33333333334</v>
      </c>
      <c r="G47" s="131">
        <f t="shared" si="10"/>
        <v>161333.33333333334</v>
      </c>
      <c r="H47" s="131">
        <f t="shared" si="10"/>
        <v>161333.33333333334</v>
      </c>
      <c r="I47" s="131">
        <f t="shared" si="10"/>
        <v>161333.33333333334</v>
      </c>
      <c r="J47" s="131">
        <f t="shared" si="10"/>
        <v>161333.33333333334</v>
      </c>
      <c r="K47" s="131">
        <f t="shared" si="10"/>
        <v>161333.33333333334</v>
      </c>
      <c r="L47" s="131">
        <f t="shared" si="10"/>
        <v>161333.33333333334</v>
      </c>
      <c r="M47" s="131">
        <f t="shared" si="10"/>
        <v>161333.33333333334</v>
      </c>
      <c r="N47" s="131">
        <f t="shared" si="10"/>
        <v>161333.33333333334</v>
      </c>
      <c r="O47" s="131">
        <f t="shared" si="10"/>
        <v>161333.33333333334</v>
      </c>
      <c r="P47" s="131">
        <f t="shared" si="10"/>
        <v>161333.33333333334</v>
      </c>
      <c r="Q47" s="131">
        <f t="shared" si="10"/>
        <v>161333.33333333334</v>
      </c>
    </row>
    <row r="48" spans="1:17" outlineLevel="1" x14ac:dyDescent="0.25">
      <c r="A48" s="129" t="s">
        <v>419</v>
      </c>
      <c r="B48" s="142"/>
      <c r="C48" s="132">
        <f t="shared" ref="C48:Q48" si="11">-C47*TC_Unitario</f>
        <v>-12906666.666666668</v>
      </c>
      <c r="D48" s="132">
        <f t="shared" si="11"/>
        <v>-12906666.666666668</v>
      </c>
      <c r="E48" s="132">
        <f t="shared" si="11"/>
        <v>-12906666.666666668</v>
      </c>
      <c r="F48" s="132">
        <f t="shared" si="11"/>
        <v>-12906666.666666668</v>
      </c>
      <c r="G48" s="132">
        <f t="shared" si="11"/>
        <v>-12906666.666666668</v>
      </c>
      <c r="H48" s="132">
        <f t="shared" si="11"/>
        <v>-12906666.666666668</v>
      </c>
      <c r="I48" s="132">
        <f t="shared" si="11"/>
        <v>-12906666.666666668</v>
      </c>
      <c r="J48" s="132">
        <f t="shared" si="11"/>
        <v>-12906666.666666668</v>
      </c>
      <c r="K48" s="132">
        <f t="shared" si="11"/>
        <v>-12906666.666666668</v>
      </c>
      <c r="L48" s="132">
        <f t="shared" si="11"/>
        <v>-12906666.666666668</v>
      </c>
      <c r="M48" s="132">
        <f t="shared" si="11"/>
        <v>-12906666.666666668</v>
      </c>
      <c r="N48" s="132">
        <f t="shared" si="11"/>
        <v>-12906666.666666668</v>
      </c>
      <c r="O48" s="132">
        <f t="shared" si="11"/>
        <v>-12906666.666666668</v>
      </c>
      <c r="P48" s="132">
        <f t="shared" si="11"/>
        <v>-12906666.666666668</v>
      </c>
      <c r="Q48" s="132">
        <f t="shared" si="11"/>
        <v>-12906666.666666668</v>
      </c>
    </row>
    <row r="49" spans="1:17" outlineLevel="1" x14ac:dyDescent="0.25">
      <c r="A49" s="129" t="s">
        <v>420</v>
      </c>
      <c r="B49" s="142"/>
      <c r="C49" s="132">
        <f t="shared" ref="C49:Q49" si="12">-C44*RC_Unitario</f>
        <v>-8237518.5376000004</v>
      </c>
      <c r="D49" s="132">
        <f t="shared" si="12"/>
        <v>-8237518.5376000004</v>
      </c>
      <c r="E49" s="132">
        <f t="shared" si="12"/>
        <v>-8237518.5376000004</v>
      </c>
      <c r="F49" s="132">
        <f t="shared" si="12"/>
        <v>-8237518.5376000004</v>
      </c>
      <c r="G49" s="132">
        <f t="shared" si="12"/>
        <v>-8237518.5376000004</v>
      </c>
      <c r="H49" s="132">
        <f t="shared" si="12"/>
        <v>-8237518.5376000004</v>
      </c>
      <c r="I49" s="132">
        <f t="shared" si="12"/>
        <v>-8237518.5376000004</v>
      </c>
      <c r="J49" s="132">
        <f t="shared" si="12"/>
        <v>-8237518.5376000004</v>
      </c>
      <c r="K49" s="132">
        <f t="shared" si="12"/>
        <v>-8237518.5376000004</v>
      </c>
      <c r="L49" s="132">
        <f t="shared" si="12"/>
        <v>-8237518.5376000004</v>
      </c>
      <c r="M49" s="132">
        <f t="shared" si="12"/>
        <v>-8237518.5376000004</v>
      </c>
      <c r="N49" s="132">
        <f t="shared" si="12"/>
        <v>-8237518.5376000004</v>
      </c>
      <c r="O49" s="132">
        <f t="shared" si="12"/>
        <v>-8237518.5376000004</v>
      </c>
      <c r="P49" s="132">
        <f t="shared" si="12"/>
        <v>-8237518.5376000004</v>
      </c>
      <c r="Q49" s="132">
        <f t="shared" si="12"/>
        <v>-8237518.5376000004</v>
      </c>
    </row>
    <row r="50" spans="1:17" outlineLevel="1" x14ac:dyDescent="0.25">
      <c r="A50" s="133" t="s">
        <v>421</v>
      </c>
      <c r="B50" s="249"/>
      <c r="C50" s="135">
        <f t="shared" ref="C50:Q50" si="13">C46+C48+C49</f>
        <v>411325538.01973337</v>
      </c>
      <c r="D50" s="135">
        <f t="shared" si="13"/>
        <v>411325538.01973337</v>
      </c>
      <c r="E50" s="135">
        <f t="shared" si="13"/>
        <v>411325538.01973337</v>
      </c>
      <c r="F50" s="135">
        <f t="shared" si="13"/>
        <v>411325538.01973337</v>
      </c>
      <c r="G50" s="135">
        <f t="shared" si="13"/>
        <v>411325538.01973337</v>
      </c>
      <c r="H50" s="135">
        <f t="shared" si="13"/>
        <v>411325538.01973337</v>
      </c>
      <c r="I50" s="135">
        <f t="shared" si="13"/>
        <v>411325538.01973337</v>
      </c>
      <c r="J50" s="135">
        <f t="shared" si="13"/>
        <v>411325538.01973337</v>
      </c>
      <c r="K50" s="135">
        <f t="shared" si="13"/>
        <v>411325538.01973337</v>
      </c>
      <c r="L50" s="135">
        <f t="shared" si="13"/>
        <v>411325538.01973337</v>
      </c>
      <c r="M50" s="135">
        <f t="shared" si="13"/>
        <v>411325538.01973337</v>
      </c>
      <c r="N50" s="135">
        <f t="shared" si="13"/>
        <v>411325538.01973337</v>
      </c>
      <c r="O50" s="135">
        <f t="shared" si="13"/>
        <v>411325538.01973337</v>
      </c>
      <c r="P50" s="135">
        <f t="shared" si="13"/>
        <v>411325538.01973337</v>
      </c>
      <c r="Q50" s="135">
        <f t="shared" si="13"/>
        <v>411325538.01973337</v>
      </c>
    </row>
    <row r="51" spans="1:17" outlineLevel="1" x14ac:dyDescent="0.25">
      <c r="A51" s="129" t="s">
        <v>422</v>
      </c>
      <c r="B51" s="142"/>
      <c r="C51" s="132">
        <f t="shared" ref="C51:Q51" si="14">-C37*Costo_Mina_Unitario</f>
        <v>-32000000</v>
      </c>
      <c r="D51" s="132">
        <f t="shared" si="14"/>
        <v>-32000000</v>
      </c>
      <c r="E51" s="132">
        <f t="shared" si="14"/>
        <v>-32000000</v>
      </c>
      <c r="F51" s="132">
        <f t="shared" si="14"/>
        <v>-32000000</v>
      </c>
      <c r="G51" s="132">
        <f t="shared" si="14"/>
        <v>-32000000</v>
      </c>
      <c r="H51" s="132">
        <f t="shared" si="14"/>
        <v>-32000000</v>
      </c>
      <c r="I51" s="132">
        <f t="shared" si="14"/>
        <v>-32000000</v>
      </c>
      <c r="J51" s="132">
        <f t="shared" si="14"/>
        <v>-32000000</v>
      </c>
      <c r="K51" s="132">
        <f t="shared" si="14"/>
        <v>-32000000</v>
      </c>
      <c r="L51" s="132">
        <f t="shared" si="14"/>
        <v>-32000000</v>
      </c>
      <c r="M51" s="132">
        <f t="shared" si="14"/>
        <v>-32000000</v>
      </c>
      <c r="N51" s="132">
        <f t="shared" si="14"/>
        <v>-32000000</v>
      </c>
      <c r="O51" s="132">
        <f t="shared" si="14"/>
        <v>-32000000</v>
      </c>
      <c r="P51" s="132">
        <f t="shared" si="14"/>
        <v>-32000000</v>
      </c>
      <c r="Q51" s="132">
        <f t="shared" si="14"/>
        <v>-32000000</v>
      </c>
    </row>
    <row r="52" spans="1:17" outlineLevel="1" x14ac:dyDescent="0.25">
      <c r="A52" s="129" t="s">
        <v>423</v>
      </c>
      <c r="B52" s="142"/>
      <c r="C52" s="132">
        <f t="shared" ref="C52:Q52" si="15">-C37*Costo_Planta_Unitario</f>
        <v>-47000000</v>
      </c>
      <c r="D52" s="132">
        <f t="shared" si="15"/>
        <v>-47000000</v>
      </c>
      <c r="E52" s="132">
        <f t="shared" si="15"/>
        <v>-47000000</v>
      </c>
      <c r="F52" s="132">
        <f t="shared" si="15"/>
        <v>-47000000</v>
      </c>
      <c r="G52" s="132">
        <f t="shared" si="15"/>
        <v>-47000000</v>
      </c>
      <c r="H52" s="132">
        <f t="shared" si="15"/>
        <v>-47000000</v>
      </c>
      <c r="I52" s="132">
        <f t="shared" si="15"/>
        <v>-47000000</v>
      </c>
      <c r="J52" s="132">
        <f t="shared" si="15"/>
        <v>-47000000</v>
      </c>
      <c r="K52" s="132">
        <f t="shared" si="15"/>
        <v>-47000000</v>
      </c>
      <c r="L52" s="132">
        <f t="shared" si="15"/>
        <v>-47000000</v>
      </c>
      <c r="M52" s="132">
        <f t="shared" si="15"/>
        <v>-47000000</v>
      </c>
      <c r="N52" s="132">
        <f t="shared" si="15"/>
        <v>-47000000</v>
      </c>
      <c r="O52" s="132">
        <f t="shared" si="15"/>
        <v>-47000000</v>
      </c>
      <c r="P52" s="132">
        <f t="shared" si="15"/>
        <v>-47000000</v>
      </c>
      <c r="Q52" s="132">
        <f t="shared" si="15"/>
        <v>-47000000</v>
      </c>
    </row>
    <row r="53" spans="1:17" outlineLevel="1" x14ac:dyDescent="0.25">
      <c r="A53" s="129" t="s">
        <v>259</v>
      </c>
      <c r="B53" s="137"/>
      <c r="C53" s="136">
        <f t="shared" ref="C53:Q53" si="16">Mano_Obra_Fija</f>
        <v>-11000000</v>
      </c>
      <c r="D53" s="136">
        <f t="shared" si="16"/>
        <v>-11000000</v>
      </c>
      <c r="E53" s="136">
        <f t="shared" si="16"/>
        <v>-11000000</v>
      </c>
      <c r="F53" s="136">
        <f t="shared" si="16"/>
        <v>-11000000</v>
      </c>
      <c r="G53" s="136">
        <f t="shared" si="16"/>
        <v>-11000000</v>
      </c>
      <c r="H53" s="136">
        <f t="shared" si="16"/>
        <v>-11000000</v>
      </c>
      <c r="I53" s="136">
        <f t="shared" si="16"/>
        <v>-11000000</v>
      </c>
      <c r="J53" s="136">
        <f t="shared" si="16"/>
        <v>-11000000</v>
      </c>
      <c r="K53" s="136">
        <f t="shared" si="16"/>
        <v>-11000000</v>
      </c>
      <c r="L53" s="136">
        <f t="shared" si="16"/>
        <v>-11000000</v>
      </c>
      <c r="M53" s="136">
        <f t="shared" si="16"/>
        <v>-11000000</v>
      </c>
      <c r="N53" s="136">
        <f t="shared" si="16"/>
        <v>-11000000</v>
      </c>
      <c r="O53" s="136">
        <f t="shared" si="16"/>
        <v>-11000000</v>
      </c>
      <c r="P53" s="136">
        <f t="shared" si="16"/>
        <v>-11000000</v>
      </c>
      <c r="Q53" s="136">
        <f t="shared" si="16"/>
        <v>-11000000</v>
      </c>
    </row>
    <row r="54" spans="1:17" outlineLevel="1" x14ac:dyDescent="0.25">
      <c r="A54" s="129" t="s">
        <v>424</v>
      </c>
      <c r="B54" s="137"/>
      <c r="C54" s="136">
        <f t="shared" ref="C54:Q54" si="17">GA_Fijo</f>
        <v>-45000000</v>
      </c>
      <c r="D54" s="136">
        <f t="shared" si="17"/>
        <v>-45000000</v>
      </c>
      <c r="E54" s="136">
        <f t="shared" si="17"/>
        <v>-45000000</v>
      </c>
      <c r="F54" s="136">
        <f t="shared" si="17"/>
        <v>-45000000</v>
      </c>
      <c r="G54" s="136">
        <f t="shared" si="17"/>
        <v>-45000000</v>
      </c>
      <c r="H54" s="136">
        <f t="shared" si="17"/>
        <v>-45000000</v>
      </c>
      <c r="I54" s="136">
        <f t="shared" si="17"/>
        <v>-45000000</v>
      </c>
      <c r="J54" s="136">
        <f t="shared" si="17"/>
        <v>-45000000</v>
      </c>
      <c r="K54" s="136">
        <f t="shared" si="17"/>
        <v>-45000000</v>
      </c>
      <c r="L54" s="136">
        <f t="shared" si="17"/>
        <v>-45000000</v>
      </c>
      <c r="M54" s="136">
        <f t="shared" si="17"/>
        <v>-45000000</v>
      </c>
      <c r="N54" s="136">
        <f t="shared" si="17"/>
        <v>-45000000</v>
      </c>
      <c r="O54" s="136">
        <f t="shared" si="17"/>
        <v>-45000000</v>
      </c>
      <c r="P54" s="136">
        <f t="shared" si="17"/>
        <v>-45000000</v>
      </c>
      <c r="Q54" s="136">
        <f t="shared" si="17"/>
        <v>-45000000</v>
      </c>
    </row>
    <row r="55" spans="1:17" outlineLevel="1" x14ac:dyDescent="0.25">
      <c r="A55" s="133" t="s">
        <v>533</v>
      </c>
      <c r="B55" s="249"/>
      <c r="C55" s="135">
        <f t="shared" ref="C55:Q55" si="18">(C51+C52+C53+C54)*(1+$C$10)</f>
        <v>-135000000</v>
      </c>
      <c r="D55" s="135">
        <f t="shared" si="18"/>
        <v>-135000000</v>
      </c>
      <c r="E55" s="135">
        <f t="shared" si="18"/>
        <v>-135000000</v>
      </c>
      <c r="F55" s="135">
        <f t="shared" si="18"/>
        <v>-135000000</v>
      </c>
      <c r="G55" s="135">
        <f t="shared" si="18"/>
        <v>-135000000</v>
      </c>
      <c r="H55" s="135">
        <f t="shared" si="18"/>
        <v>-135000000</v>
      </c>
      <c r="I55" s="135">
        <f t="shared" si="18"/>
        <v>-135000000</v>
      </c>
      <c r="J55" s="135">
        <f t="shared" si="18"/>
        <v>-135000000</v>
      </c>
      <c r="K55" s="135">
        <f t="shared" si="18"/>
        <v>-135000000</v>
      </c>
      <c r="L55" s="135">
        <f t="shared" si="18"/>
        <v>-135000000</v>
      </c>
      <c r="M55" s="135">
        <f t="shared" si="18"/>
        <v>-135000000</v>
      </c>
      <c r="N55" s="135">
        <f t="shared" si="18"/>
        <v>-135000000</v>
      </c>
      <c r="O55" s="135">
        <f t="shared" si="18"/>
        <v>-135000000</v>
      </c>
      <c r="P55" s="135">
        <f t="shared" si="18"/>
        <v>-135000000</v>
      </c>
      <c r="Q55" s="135">
        <f t="shared" si="18"/>
        <v>-135000000</v>
      </c>
    </row>
    <row r="56" spans="1:17" outlineLevel="1" x14ac:dyDescent="0.25">
      <c r="A56" s="133" t="s">
        <v>425</v>
      </c>
      <c r="B56" s="249"/>
      <c r="C56" s="135">
        <f t="shared" ref="C56:Q56" si="19">C50+C55</f>
        <v>276325538.01973337</v>
      </c>
      <c r="D56" s="135">
        <f t="shared" si="19"/>
        <v>276325538.01973337</v>
      </c>
      <c r="E56" s="135">
        <f t="shared" si="19"/>
        <v>276325538.01973337</v>
      </c>
      <c r="F56" s="135">
        <f t="shared" si="19"/>
        <v>276325538.01973337</v>
      </c>
      <c r="G56" s="135">
        <f t="shared" si="19"/>
        <v>276325538.01973337</v>
      </c>
      <c r="H56" s="135">
        <f t="shared" si="19"/>
        <v>276325538.01973337</v>
      </c>
      <c r="I56" s="135">
        <f t="shared" si="19"/>
        <v>276325538.01973337</v>
      </c>
      <c r="J56" s="135">
        <f t="shared" si="19"/>
        <v>276325538.01973337</v>
      </c>
      <c r="K56" s="135">
        <f t="shared" si="19"/>
        <v>276325538.01973337</v>
      </c>
      <c r="L56" s="135">
        <f t="shared" si="19"/>
        <v>276325538.01973337</v>
      </c>
      <c r="M56" s="135">
        <f t="shared" si="19"/>
        <v>276325538.01973337</v>
      </c>
      <c r="N56" s="135">
        <f t="shared" si="19"/>
        <v>276325538.01973337</v>
      </c>
      <c r="O56" s="135">
        <f t="shared" si="19"/>
        <v>276325538.01973337</v>
      </c>
      <c r="P56" s="135">
        <f t="shared" si="19"/>
        <v>276325538.01973337</v>
      </c>
      <c r="Q56" s="135">
        <f t="shared" si="19"/>
        <v>276325538.01973337</v>
      </c>
    </row>
    <row r="57" spans="1:17" outlineLevel="1" x14ac:dyDescent="0.25">
      <c r="A57" s="129" t="s">
        <v>426</v>
      </c>
      <c r="B57" s="142">
        <f>$C$19</f>
        <v>-739200000</v>
      </c>
      <c r="C57" s="132">
        <f>0</f>
        <v>0</v>
      </c>
      <c r="D57" s="132">
        <f>0</f>
        <v>0</v>
      </c>
      <c r="E57" s="132">
        <f>0</f>
        <v>0</v>
      </c>
      <c r="F57" s="132">
        <f>0</f>
        <v>0</v>
      </c>
      <c r="G57" s="132">
        <f>0</f>
        <v>0</v>
      </c>
      <c r="H57" s="132">
        <f>0</f>
        <v>0</v>
      </c>
      <c r="I57" s="132">
        <f>0</f>
        <v>0</v>
      </c>
      <c r="J57" s="132">
        <f>0</f>
        <v>0</v>
      </c>
      <c r="K57" s="132">
        <f>0</f>
        <v>0</v>
      </c>
      <c r="L57" s="132">
        <f>0</f>
        <v>0</v>
      </c>
      <c r="M57" s="132">
        <f>0</f>
        <v>0</v>
      </c>
      <c r="N57" s="132">
        <f>0</f>
        <v>0</v>
      </c>
      <c r="O57" s="132">
        <f>0</f>
        <v>0</v>
      </c>
      <c r="P57" s="132">
        <f>0</f>
        <v>0</v>
      </c>
      <c r="Q57" s="132">
        <f>0</f>
        <v>0</v>
      </c>
    </row>
    <row r="58" spans="1:17" outlineLevel="1" x14ac:dyDescent="0.25">
      <c r="A58" s="123" t="s">
        <v>215</v>
      </c>
      <c r="B58" s="126"/>
      <c r="C58" s="128">
        <f t="shared" ref="C58:Q58" si="20">$B$57*(C37/Reservas_Totales)</f>
        <v>-49280000</v>
      </c>
      <c r="D58" s="128">
        <f t="shared" si="20"/>
        <v>-49280000</v>
      </c>
      <c r="E58" s="128">
        <f t="shared" si="20"/>
        <v>-49280000</v>
      </c>
      <c r="F58" s="128">
        <f t="shared" si="20"/>
        <v>-49280000</v>
      </c>
      <c r="G58" s="128">
        <f t="shared" si="20"/>
        <v>-49280000</v>
      </c>
      <c r="H58" s="128">
        <f t="shared" si="20"/>
        <v>-49280000</v>
      </c>
      <c r="I58" s="128">
        <f t="shared" si="20"/>
        <v>-49280000</v>
      </c>
      <c r="J58" s="128">
        <f t="shared" si="20"/>
        <v>-49280000</v>
      </c>
      <c r="K58" s="128">
        <f t="shared" si="20"/>
        <v>-49280000</v>
      </c>
      <c r="L58" s="128">
        <f t="shared" si="20"/>
        <v>-49280000</v>
      </c>
      <c r="M58" s="128">
        <f t="shared" si="20"/>
        <v>-49280000</v>
      </c>
      <c r="N58" s="128">
        <f t="shared" si="20"/>
        <v>-49280000</v>
      </c>
      <c r="O58" s="128">
        <f t="shared" si="20"/>
        <v>-49280000</v>
      </c>
      <c r="P58" s="128">
        <f t="shared" si="20"/>
        <v>-49280000</v>
      </c>
      <c r="Q58" s="128">
        <f t="shared" si="20"/>
        <v>-49280000</v>
      </c>
    </row>
    <row r="59" spans="1:17" outlineLevel="1" x14ac:dyDescent="0.25">
      <c r="A59" s="133" t="s">
        <v>427</v>
      </c>
      <c r="B59" s="249"/>
      <c r="C59" s="135">
        <f t="shared" ref="C59:Q59" si="21">C56+C58</f>
        <v>227045538.01973337</v>
      </c>
      <c r="D59" s="135">
        <f t="shared" si="21"/>
        <v>227045538.01973337</v>
      </c>
      <c r="E59" s="135">
        <f t="shared" si="21"/>
        <v>227045538.01973337</v>
      </c>
      <c r="F59" s="135">
        <f t="shared" si="21"/>
        <v>227045538.01973337</v>
      </c>
      <c r="G59" s="135">
        <f t="shared" si="21"/>
        <v>227045538.01973337</v>
      </c>
      <c r="H59" s="135">
        <f t="shared" si="21"/>
        <v>227045538.01973337</v>
      </c>
      <c r="I59" s="135">
        <f t="shared" si="21"/>
        <v>227045538.01973337</v>
      </c>
      <c r="J59" s="135">
        <f t="shared" si="21"/>
        <v>227045538.01973337</v>
      </c>
      <c r="K59" s="135">
        <f t="shared" si="21"/>
        <v>227045538.01973337</v>
      </c>
      <c r="L59" s="135">
        <f t="shared" si="21"/>
        <v>227045538.01973337</v>
      </c>
      <c r="M59" s="135">
        <f t="shared" si="21"/>
        <v>227045538.01973337</v>
      </c>
      <c r="N59" s="135">
        <f t="shared" si="21"/>
        <v>227045538.01973337</v>
      </c>
      <c r="O59" s="135">
        <f t="shared" si="21"/>
        <v>227045538.01973337</v>
      </c>
      <c r="P59" s="135">
        <f t="shared" si="21"/>
        <v>227045538.01973337</v>
      </c>
      <c r="Q59" s="135">
        <f t="shared" si="21"/>
        <v>227045538.01973337</v>
      </c>
    </row>
    <row r="60" spans="1:17" outlineLevel="1" x14ac:dyDescent="0.25">
      <c r="A60" s="129" t="s">
        <v>428</v>
      </c>
      <c r="B60" s="142"/>
      <c r="C60" s="132">
        <f t="shared" ref="C60:Q60" si="22">-Tasa_Impuesto*MAX(C59,0)</f>
        <v>-79465938.30690667</v>
      </c>
      <c r="D60" s="132">
        <f t="shared" si="22"/>
        <v>-79465938.30690667</v>
      </c>
      <c r="E60" s="132">
        <f t="shared" si="22"/>
        <v>-79465938.30690667</v>
      </c>
      <c r="F60" s="132">
        <f t="shared" si="22"/>
        <v>-79465938.30690667</v>
      </c>
      <c r="G60" s="132">
        <f t="shared" si="22"/>
        <v>-79465938.30690667</v>
      </c>
      <c r="H60" s="132">
        <f t="shared" si="22"/>
        <v>-79465938.30690667</v>
      </c>
      <c r="I60" s="132">
        <f t="shared" si="22"/>
        <v>-79465938.30690667</v>
      </c>
      <c r="J60" s="132">
        <f t="shared" si="22"/>
        <v>-79465938.30690667</v>
      </c>
      <c r="K60" s="132">
        <f t="shared" si="22"/>
        <v>-79465938.30690667</v>
      </c>
      <c r="L60" s="132">
        <f t="shared" si="22"/>
        <v>-79465938.30690667</v>
      </c>
      <c r="M60" s="132">
        <f t="shared" si="22"/>
        <v>-79465938.30690667</v>
      </c>
      <c r="N60" s="132">
        <f t="shared" si="22"/>
        <v>-79465938.30690667</v>
      </c>
      <c r="O60" s="132">
        <f t="shared" si="22"/>
        <v>-79465938.30690667</v>
      </c>
      <c r="P60" s="132">
        <f t="shared" si="22"/>
        <v>-79465938.30690667</v>
      </c>
      <c r="Q60" s="132">
        <f t="shared" si="22"/>
        <v>-79465938.30690667</v>
      </c>
    </row>
    <row r="61" spans="1:17" outlineLevel="1" x14ac:dyDescent="0.25">
      <c r="A61" s="250" t="s">
        <v>429</v>
      </c>
      <c r="B61" s="251"/>
      <c r="C61" s="252">
        <v>0</v>
      </c>
      <c r="D61" s="252">
        <v>0</v>
      </c>
      <c r="E61" s="252">
        <v>0</v>
      </c>
      <c r="F61" s="252">
        <v>0</v>
      </c>
      <c r="G61" s="252">
        <v>0</v>
      </c>
      <c r="H61" s="252">
        <v>0</v>
      </c>
      <c r="I61" s="252">
        <v>0</v>
      </c>
      <c r="J61" s="252">
        <v>0</v>
      </c>
      <c r="K61" s="252">
        <v>0</v>
      </c>
      <c r="L61" s="252">
        <v>0</v>
      </c>
      <c r="M61" s="252">
        <v>0</v>
      </c>
      <c r="N61" s="252">
        <v>0</v>
      </c>
      <c r="O61" s="252">
        <v>0</v>
      </c>
      <c r="P61" s="252">
        <v>0</v>
      </c>
      <c r="Q61" s="252">
        <v>0</v>
      </c>
    </row>
    <row r="62" spans="1:17" outlineLevel="1" x14ac:dyDescent="0.25">
      <c r="A62" s="250" t="s">
        <v>430</v>
      </c>
      <c r="B62" s="251">
        <v>0</v>
      </c>
      <c r="C62" s="252">
        <v>0</v>
      </c>
      <c r="D62" s="252">
        <v>0</v>
      </c>
      <c r="E62" s="252">
        <v>0</v>
      </c>
      <c r="F62" s="252">
        <v>0</v>
      </c>
      <c r="G62" s="252">
        <v>0</v>
      </c>
      <c r="H62" s="252">
        <v>0</v>
      </c>
      <c r="I62" s="252">
        <v>0</v>
      </c>
      <c r="J62" s="252">
        <v>0</v>
      </c>
      <c r="K62" s="252">
        <v>0</v>
      </c>
      <c r="L62" s="252">
        <v>0</v>
      </c>
      <c r="M62" s="252">
        <v>0</v>
      </c>
      <c r="N62" s="252">
        <v>0</v>
      </c>
      <c r="O62" s="252">
        <v>0</v>
      </c>
      <c r="P62" s="252">
        <v>0</v>
      </c>
      <c r="Q62" s="252">
        <f>$C$19*Tasa_Provision_Cierre</f>
        <v>-73920000</v>
      </c>
    </row>
    <row r="63" spans="1:17" outlineLevel="1" x14ac:dyDescent="0.25">
      <c r="A63" s="139" t="s">
        <v>431</v>
      </c>
      <c r="B63" s="253">
        <f>B56+B57+B60+B61+B62</f>
        <v>-739200000</v>
      </c>
      <c r="C63" s="141">
        <f t="shared" ref="C63:Q63" si="23">C56+C60+C61+C62</f>
        <v>196859599.7128267</v>
      </c>
      <c r="D63" s="141">
        <f t="shared" si="23"/>
        <v>196859599.7128267</v>
      </c>
      <c r="E63" s="141">
        <f t="shared" si="23"/>
        <v>196859599.7128267</v>
      </c>
      <c r="F63" s="141">
        <f t="shared" si="23"/>
        <v>196859599.7128267</v>
      </c>
      <c r="G63" s="141">
        <f t="shared" si="23"/>
        <v>196859599.7128267</v>
      </c>
      <c r="H63" s="141">
        <f t="shared" si="23"/>
        <v>196859599.7128267</v>
      </c>
      <c r="I63" s="141">
        <f t="shared" si="23"/>
        <v>196859599.7128267</v>
      </c>
      <c r="J63" s="141">
        <f t="shared" si="23"/>
        <v>196859599.7128267</v>
      </c>
      <c r="K63" s="141">
        <f t="shared" si="23"/>
        <v>196859599.7128267</v>
      </c>
      <c r="L63" s="141">
        <f t="shared" si="23"/>
        <v>196859599.7128267</v>
      </c>
      <c r="M63" s="141">
        <f t="shared" si="23"/>
        <v>196859599.7128267</v>
      </c>
      <c r="N63" s="141">
        <f t="shared" si="23"/>
        <v>196859599.7128267</v>
      </c>
      <c r="O63" s="141">
        <f t="shared" si="23"/>
        <v>196859599.7128267</v>
      </c>
      <c r="P63" s="141">
        <f t="shared" si="23"/>
        <v>196859599.7128267</v>
      </c>
      <c r="Q63" s="141">
        <f t="shared" si="23"/>
        <v>122939599.7128267</v>
      </c>
    </row>
    <row r="64" spans="1:17" ht="15" customHeight="1" outlineLevel="1" x14ac:dyDescent="0.25">
      <c r="A64" s="129" t="s">
        <v>432</v>
      </c>
      <c r="B64" s="142">
        <f>B63</f>
        <v>-739200000</v>
      </c>
      <c r="C64" s="132">
        <f t="shared" ref="C64:Q64" si="24">B64+C63</f>
        <v>-542340400.28717327</v>
      </c>
      <c r="D64" s="132">
        <f t="shared" si="24"/>
        <v>-345480800.57434654</v>
      </c>
      <c r="E64" s="132">
        <f t="shared" si="24"/>
        <v>-148621200.86151984</v>
      </c>
      <c r="F64" s="132">
        <f t="shared" si="24"/>
        <v>48238398.851306856</v>
      </c>
      <c r="G64" s="132">
        <f t="shared" si="24"/>
        <v>245097998.56413355</v>
      </c>
      <c r="H64" s="132">
        <f t="shared" si="24"/>
        <v>441957598.27696025</v>
      </c>
      <c r="I64" s="132">
        <f t="shared" si="24"/>
        <v>638817197.98978698</v>
      </c>
      <c r="J64" s="132">
        <f t="shared" si="24"/>
        <v>835676797.70261371</v>
      </c>
      <c r="K64" s="132">
        <f t="shared" si="24"/>
        <v>1032536397.4154404</v>
      </c>
      <c r="L64" s="132">
        <f t="shared" si="24"/>
        <v>1229395997.128267</v>
      </c>
      <c r="M64" s="132">
        <f t="shared" si="24"/>
        <v>1426255596.8410938</v>
      </c>
      <c r="N64" s="132">
        <f t="shared" si="24"/>
        <v>1623115196.5539205</v>
      </c>
      <c r="O64" s="132">
        <f t="shared" si="24"/>
        <v>1819974796.2667472</v>
      </c>
      <c r="P64" s="132">
        <f t="shared" si="24"/>
        <v>2016834395.979574</v>
      </c>
      <c r="Q64" s="132">
        <f t="shared" si="24"/>
        <v>2139773995.6924007</v>
      </c>
    </row>
    <row r="65" spans="1:17" ht="15" customHeight="1" outlineLevel="1" x14ac:dyDescent="0.25">
      <c r="A65" s="139" t="s">
        <v>450</v>
      </c>
      <c r="B65" s="141">
        <f>B63+NPV(WACC,C63:Q63)</f>
        <v>740433906.70642924</v>
      </c>
      <c r="C65" s="109"/>
      <c r="D65" s="109"/>
      <c r="E65" s="109"/>
      <c r="F65" s="109"/>
      <c r="G65" s="109"/>
      <c r="H65" s="109"/>
      <c r="I65" s="109"/>
      <c r="J65" s="109"/>
      <c r="K65" s="109"/>
    </row>
    <row r="66" spans="1:17" ht="15" customHeight="1" outlineLevel="1" x14ac:dyDescent="0.25">
      <c r="A66" s="139" t="s">
        <v>452</v>
      </c>
      <c r="B66" s="204">
        <f>IFERROR(IRR(B63:Q63),"N/A")</f>
        <v>0.25684908406719242</v>
      </c>
      <c r="C66" s="109"/>
      <c r="D66" s="109"/>
      <c r="E66" s="109"/>
      <c r="F66" s="109"/>
      <c r="G66" s="109"/>
      <c r="H66" s="109"/>
      <c r="I66" s="109"/>
      <c r="J66" s="109"/>
      <c r="K66" s="109"/>
    </row>
    <row r="67" spans="1:17" ht="15" customHeight="1" outlineLevel="1" x14ac:dyDescent="0.25">
      <c r="A67" s="108" t="s">
        <v>434</v>
      </c>
      <c r="B67" s="132">
        <v>0</v>
      </c>
      <c r="C67" s="132">
        <f t="shared" ref="C67:Q67" si="25">(1-Tasa_Impuesto)*C44</f>
        <v>66929838.118000001</v>
      </c>
      <c r="D67" s="132">
        <f t="shared" si="25"/>
        <v>66929838.118000001</v>
      </c>
      <c r="E67" s="132">
        <f t="shared" si="25"/>
        <v>66929838.118000001</v>
      </c>
      <c r="F67" s="132">
        <f t="shared" si="25"/>
        <v>66929838.118000001</v>
      </c>
      <c r="G67" s="132">
        <f t="shared" si="25"/>
        <v>66929838.118000001</v>
      </c>
      <c r="H67" s="132">
        <f t="shared" si="25"/>
        <v>66929838.118000001</v>
      </c>
      <c r="I67" s="132">
        <f t="shared" si="25"/>
        <v>66929838.118000001</v>
      </c>
      <c r="J67" s="132">
        <f t="shared" si="25"/>
        <v>66929838.118000001</v>
      </c>
      <c r="K67" s="132">
        <f t="shared" si="25"/>
        <v>66929838.118000001</v>
      </c>
      <c r="L67" s="132">
        <f t="shared" si="25"/>
        <v>66929838.118000001</v>
      </c>
      <c r="M67" s="132">
        <f t="shared" si="25"/>
        <v>66929838.118000001</v>
      </c>
      <c r="N67" s="132">
        <f t="shared" si="25"/>
        <v>66929838.118000001</v>
      </c>
      <c r="O67" s="132">
        <f t="shared" si="25"/>
        <v>66929838.118000001</v>
      </c>
      <c r="P67" s="132">
        <f t="shared" si="25"/>
        <v>66929838.118000001</v>
      </c>
      <c r="Q67" s="132">
        <f t="shared" si="25"/>
        <v>66929838.118000001</v>
      </c>
    </row>
    <row r="68" spans="1:17" ht="15" customHeight="1" outlineLevel="1" x14ac:dyDescent="0.25">
      <c r="A68" s="108" t="s">
        <v>435</v>
      </c>
      <c r="B68" s="132">
        <v>0</v>
      </c>
      <c r="C68" s="132">
        <f t="shared" ref="C68:Q68" si="26">(1-Tasa_Impuesto)*(C48+C49+C55)-Tasa_Impuesto*C58+C62</f>
        <v>-84245720.38277334</v>
      </c>
      <c r="D68" s="132">
        <f t="shared" si="26"/>
        <v>-84245720.38277334</v>
      </c>
      <c r="E68" s="132">
        <f t="shared" si="26"/>
        <v>-84245720.38277334</v>
      </c>
      <c r="F68" s="132">
        <f t="shared" si="26"/>
        <v>-84245720.38277334</v>
      </c>
      <c r="G68" s="132">
        <f t="shared" si="26"/>
        <v>-84245720.38277334</v>
      </c>
      <c r="H68" s="132">
        <f t="shared" si="26"/>
        <v>-84245720.38277334</v>
      </c>
      <c r="I68" s="132">
        <f t="shared" si="26"/>
        <v>-84245720.38277334</v>
      </c>
      <c r="J68" s="132">
        <f t="shared" si="26"/>
        <v>-84245720.38277334</v>
      </c>
      <c r="K68" s="132">
        <f t="shared" si="26"/>
        <v>-84245720.38277334</v>
      </c>
      <c r="L68" s="132">
        <f t="shared" si="26"/>
        <v>-84245720.38277334</v>
      </c>
      <c r="M68" s="132">
        <f t="shared" si="26"/>
        <v>-84245720.38277334</v>
      </c>
      <c r="N68" s="132">
        <f t="shared" si="26"/>
        <v>-84245720.38277334</v>
      </c>
      <c r="O68" s="132">
        <f t="shared" si="26"/>
        <v>-84245720.38277334</v>
      </c>
      <c r="P68" s="132">
        <f t="shared" si="26"/>
        <v>-84245720.38277334</v>
      </c>
      <c r="Q68" s="132">
        <f t="shared" si="26"/>
        <v>-158165720.38277334</v>
      </c>
    </row>
    <row r="69" spans="1:17" ht="15" customHeight="1" outlineLevel="1" x14ac:dyDescent="0.25">
      <c r="A69" s="108"/>
      <c r="B69" s="109"/>
      <c r="C69" s="254" t="s">
        <v>200</v>
      </c>
      <c r="D69" s="254" t="s">
        <v>534</v>
      </c>
      <c r="E69" s="254" t="s">
        <v>535</v>
      </c>
      <c r="F69" s="109"/>
      <c r="G69" s="109"/>
      <c r="H69" s="109"/>
      <c r="I69" s="109"/>
      <c r="J69" s="109"/>
      <c r="K69" s="109"/>
      <c r="L69"/>
      <c r="M69"/>
      <c r="N69"/>
      <c r="O69"/>
      <c r="P69"/>
      <c r="Q69"/>
    </row>
    <row r="70" spans="1:17" ht="15" customHeight="1" x14ac:dyDescent="0.25">
      <c r="A70" s="3" t="s">
        <v>436</v>
      </c>
      <c r="B70" s="109"/>
      <c r="C70" s="131">
        <f>SUM(C37:Q37)</f>
        <v>150000000</v>
      </c>
      <c r="D70" s="144">
        <f>Reservas_Totales</f>
        <v>150000000</v>
      </c>
      <c r="E70" s="131">
        <f>C68-D68</f>
        <v>0</v>
      </c>
      <c r="F70" s="109"/>
      <c r="G70" s="109"/>
      <c r="H70" s="109"/>
      <c r="I70" s="109"/>
      <c r="J70" s="109"/>
      <c r="K70" s="109"/>
      <c r="L70"/>
      <c r="M70"/>
      <c r="N70"/>
      <c r="O70"/>
      <c r="P70"/>
      <c r="Q70"/>
    </row>
    <row r="71" spans="1:17" ht="15" customHeight="1" x14ac:dyDescent="0.25">
      <c r="A71" s="257" t="s">
        <v>536</v>
      </c>
      <c r="B71" s="257"/>
      <c r="C71" s="257"/>
      <c r="D71" s="257"/>
      <c r="E71" s="257"/>
      <c r="F71" s="257"/>
      <c r="G71" s="257"/>
      <c r="H71" s="257"/>
      <c r="I71" s="257"/>
      <c r="J71" s="257"/>
      <c r="K71" s="257"/>
      <c r="L71" s="257"/>
      <c r="M71" s="257"/>
      <c r="N71" s="257"/>
      <c r="O71" s="257"/>
      <c r="P71" s="257"/>
      <c r="Q71" s="257"/>
    </row>
    <row r="72" spans="1:17" x14ac:dyDescent="0.25">
      <c r="A72" s="256"/>
      <c r="B72" s="256"/>
      <c r="C72" s="256"/>
      <c r="D72" s="256"/>
      <c r="E72" s="256"/>
      <c r="F72" s="256"/>
      <c r="G72" s="256"/>
      <c r="H72" s="256"/>
      <c r="I72" s="256"/>
      <c r="J72" s="256"/>
      <c r="K72" s="256"/>
      <c r="L72" s="256"/>
      <c r="M72" s="256"/>
      <c r="N72" s="256"/>
      <c r="O72" s="256"/>
      <c r="P72" s="256"/>
      <c r="Q72" s="256"/>
    </row>
    <row r="73" spans="1:17" ht="15" customHeight="1" outlineLevel="1" x14ac:dyDescent="0.25">
      <c r="A73" s="110" t="s">
        <v>196</v>
      </c>
      <c r="B73" s="201" t="s">
        <v>399</v>
      </c>
      <c r="C73" s="111" t="s">
        <v>400</v>
      </c>
      <c r="D73" s="111" t="s">
        <v>401</v>
      </c>
      <c r="E73" s="111" t="s">
        <v>402</v>
      </c>
      <c r="F73" s="111" t="s">
        <v>403</v>
      </c>
      <c r="G73" s="111" t="s">
        <v>404</v>
      </c>
      <c r="H73" s="111" t="s">
        <v>405</v>
      </c>
      <c r="I73" s="111" t="s">
        <v>406</v>
      </c>
      <c r="J73" s="111" t="s">
        <v>407</v>
      </c>
      <c r="K73" s="111" t="s">
        <v>408</v>
      </c>
      <c r="L73" s="111" t="s">
        <v>409</v>
      </c>
      <c r="M73" s="111" t="s">
        <v>410</v>
      </c>
      <c r="N73" s="111" t="s">
        <v>411</v>
      </c>
      <c r="O73" s="111" t="s">
        <v>412</v>
      </c>
      <c r="P73" s="111" t="s">
        <v>413</v>
      </c>
      <c r="Q73" s="111" t="s">
        <v>414</v>
      </c>
    </row>
    <row r="74" spans="1:17" ht="15" customHeight="1" outlineLevel="1" x14ac:dyDescent="0.25">
      <c r="A74" s="123" t="s">
        <v>415</v>
      </c>
      <c r="B74" s="240"/>
      <c r="C74" s="115">
        <v>0.6</v>
      </c>
      <c r="D74" s="115">
        <v>0.85</v>
      </c>
      <c r="E74" s="115">
        <v>1</v>
      </c>
      <c r="F74" s="115">
        <v>1</v>
      </c>
      <c r="G74" s="115">
        <v>1</v>
      </c>
      <c r="H74" s="115">
        <v>1</v>
      </c>
      <c r="I74" s="115">
        <v>1</v>
      </c>
      <c r="J74" s="115">
        <v>1</v>
      </c>
      <c r="K74" s="115">
        <v>1</v>
      </c>
      <c r="L74" s="115">
        <v>1</v>
      </c>
      <c r="M74" s="115">
        <v>1</v>
      </c>
      <c r="N74" s="115">
        <v>1</v>
      </c>
      <c r="O74" s="115">
        <v>1</v>
      </c>
      <c r="P74" s="115">
        <v>1</v>
      </c>
      <c r="Q74" s="115">
        <v>1</v>
      </c>
    </row>
    <row r="75" spans="1:17" ht="15" customHeight="1" outlineLevel="1" x14ac:dyDescent="0.25">
      <c r="A75" s="123" t="s">
        <v>532</v>
      </c>
      <c r="B75" s="241"/>
      <c r="C75" s="119">
        <f t="shared" ref="C75:Q75" si="27">$D$15*C74</f>
        <v>6779999.9999999991</v>
      </c>
      <c r="D75" s="119">
        <f t="shared" si="27"/>
        <v>9604999.9999999981</v>
      </c>
      <c r="E75" s="119">
        <f t="shared" si="27"/>
        <v>11299999.999999998</v>
      </c>
      <c r="F75" s="119">
        <f t="shared" si="27"/>
        <v>11299999.999999998</v>
      </c>
      <c r="G75" s="119">
        <f t="shared" si="27"/>
        <v>11299999.999999998</v>
      </c>
      <c r="H75" s="119">
        <f t="shared" si="27"/>
        <v>11299999.999999998</v>
      </c>
      <c r="I75" s="119">
        <f t="shared" si="27"/>
        <v>11299999.999999998</v>
      </c>
      <c r="J75" s="119">
        <f t="shared" si="27"/>
        <v>11299999.999999998</v>
      </c>
      <c r="K75" s="119">
        <f t="shared" si="27"/>
        <v>11299999.999999998</v>
      </c>
      <c r="L75" s="119">
        <f t="shared" si="27"/>
        <v>11299999.999999998</v>
      </c>
      <c r="M75" s="119">
        <f t="shared" si="27"/>
        <v>11299999.999999998</v>
      </c>
      <c r="N75" s="119">
        <f t="shared" si="27"/>
        <v>11299999.999999998</v>
      </c>
      <c r="O75" s="119">
        <f t="shared" si="27"/>
        <v>11299999.999999998</v>
      </c>
      <c r="P75" s="119">
        <f t="shared" si="27"/>
        <v>11299999.999999998</v>
      </c>
      <c r="Q75" s="119">
        <f t="shared" si="27"/>
        <v>11299999.999999998</v>
      </c>
    </row>
    <row r="76" spans="1:17" ht="15" customHeight="1" outlineLevel="1" x14ac:dyDescent="0.25">
      <c r="A76" s="123" t="s">
        <v>201</v>
      </c>
      <c r="B76" s="242"/>
      <c r="C76" s="122">
        <f t="shared" ref="C76:Q76" si="28">$D$17</f>
        <v>5.7749999999999998E-3</v>
      </c>
      <c r="D76" s="122">
        <f t="shared" si="28"/>
        <v>5.7749999999999998E-3</v>
      </c>
      <c r="E76" s="122">
        <f t="shared" si="28"/>
        <v>5.7749999999999998E-3</v>
      </c>
      <c r="F76" s="122">
        <f t="shared" si="28"/>
        <v>5.7749999999999998E-3</v>
      </c>
      <c r="G76" s="122">
        <f t="shared" si="28"/>
        <v>5.7749999999999998E-3</v>
      </c>
      <c r="H76" s="122">
        <f t="shared" si="28"/>
        <v>5.7749999999999998E-3</v>
      </c>
      <c r="I76" s="122">
        <f t="shared" si="28"/>
        <v>5.7749999999999998E-3</v>
      </c>
      <c r="J76" s="122">
        <f t="shared" si="28"/>
        <v>5.7749999999999998E-3</v>
      </c>
      <c r="K76" s="122">
        <f t="shared" si="28"/>
        <v>5.7749999999999998E-3</v>
      </c>
      <c r="L76" s="122">
        <f t="shared" si="28"/>
        <v>5.7749999999999998E-3</v>
      </c>
      <c r="M76" s="122">
        <f t="shared" si="28"/>
        <v>5.7749999999999998E-3</v>
      </c>
      <c r="N76" s="122">
        <f t="shared" si="28"/>
        <v>5.7749999999999998E-3</v>
      </c>
      <c r="O76" s="122">
        <f t="shared" si="28"/>
        <v>5.7749999999999998E-3</v>
      </c>
      <c r="P76" s="122">
        <f t="shared" si="28"/>
        <v>5.7749999999999998E-3</v>
      </c>
      <c r="Q76" s="122">
        <f t="shared" si="28"/>
        <v>5.7749999999999998E-3</v>
      </c>
    </row>
    <row r="77" spans="1:17" ht="15" customHeight="1" outlineLevel="1" x14ac:dyDescent="0.25">
      <c r="A77" s="123" t="s">
        <v>416</v>
      </c>
      <c r="B77" s="118"/>
      <c r="C77" s="124">
        <f t="shared" ref="C77:Q77" si="29">C75*C76</f>
        <v>39154.499999999993</v>
      </c>
      <c r="D77" s="124">
        <f t="shared" si="29"/>
        <v>55468.874999999985</v>
      </c>
      <c r="E77" s="124">
        <f t="shared" si="29"/>
        <v>65257.499999999985</v>
      </c>
      <c r="F77" s="124">
        <f t="shared" si="29"/>
        <v>65257.499999999985</v>
      </c>
      <c r="G77" s="124">
        <f t="shared" si="29"/>
        <v>65257.499999999985</v>
      </c>
      <c r="H77" s="124">
        <f t="shared" si="29"/>
        <v>65257.499999999985</v>
      </c>
      <c r="I77" s="124">
        <f t="shared" si="29"/>
        <v>65257.499999999985</v>
      </c>
      <c r="J77" s="124">
        <f t="shared" si="29"/>
        <v>65257.499999999985</v>
      </c>
      <c r="K77" s="124">
        <f t="shared" si="29"/>
        <v>65257.499999999985</v>
      </c>
      <c r="L77" s="124">
        <f t="shared" si="29"/>
        <v>65257.499999999985</v>
      </c>
      <c r="M77" s="124">
        <f t="shared" si="29"/>
        <v>65257.499999999985</v>
      </c>
      <c r="N77" s="124">
        <f t="shared" si="29"/>
        <v>65257.499999999985</v>
      </c>
      <c r="O77" s="124">
        <f t="shared" si="29"/>
        <v>65257.499999999985</v>
      </c>
      <c r="P77" s="124">
        <f t="shared" si="29"/>
        <v>65257.499999999985</v>
      </c>
      <c r="Q77" s="124">
        <f t="shared" si="29"/>
        <v>65257.499999999985</v>
      </c>
    </row>
    <row r="78" spans="1:17" ht="15" customHeight="1" outlineLevel="1" x14ac:dyDescent="0.25">
      <c r="A78" s="123" t="s">
        <v>205</v>
      </c>
      <c r="B78" s="243"/>
      <c r="C78" s="125">
        <f t="shared" ref="C78:Q78" si="30">$D$18</f>
        <v>0.90639999999999998</v>
      </c>
      <c r="D78" s="125">
        <f t="shared" si="30"/>
        <v>0.90639999999999998</v>
      </c>
      <c r="E78" s="125">
        <f t="shared" si="30"/>
        <v>0.90639999999999998</v>
      </c>
      <c r="F78" s="125">
        <f t="shared" si="30"/>
        <v>0.90639999999999998</v>
      </c>
      <c r="G78" s="125">
        <f t="shared" si="30"/>
        <v>0.90639999999999998</v>
      </c>
      <c r="H78" s="125">
        <f t="shared" si="30"/>
        <v>0.90639999999999998</v>
      </c>
      <c r="I78" s="125">
        <f t="shared" si="30"/>
        <v>0.90639999999999998</v>
      </c>
      <c r="J78" s="125">
        <f t="shared" si="30"/>
        <v>0.90639999999999998</v>
      </c>
      <c r="K78" s="125">
        <f t="shared" si="30"/>
        <v>0.90639999999999998</v>
      </c>
      <c r="L78" s="125">
        <f t="shared" si="30"/>
        <v>0.90639999999999998</v>
      </c>
      <c r="M78" s="125">
        <f t="shared" si="30"/>
        <v>0.90639999999999998</v>
      </c>
      <c r="N78" s="125">
        <f t="shared" si="30"/>
        <v>0.90639999999999998</v>
      </c>
      <c r="O78" s="125">
        <f t="shared" si="30"/>
        <v>0.90639999999999998</v>
      </c>
      <c r="P78" s="125">
        <f t="shared" si="30"/>
        <v>0.90639999999999998</v>
      </c>
      <c r="Q78" s="125">
        <f t="shared" si="30"/>
        <v>0.90639999999999998</v>
      </c>
    </row>
    <row r="79" spans="1:17" ht="15" customHeight="1" outlineLevel="1" x14ac:dyDescent="0.25">
      <c r="A79" s="123" t="s">
        <v>417</v>
      </c>
      <c r="B79" s="118"/>
      <c r="C79" s="124">
        <f t="shared" ref="C79:Q79" si="31">C77*C78</f>
        <v>35489.638799999993</v>
      </c>
      <c r="D79" s="124">
        <f t="shared" si="31"/>
        <v>50276.988299999983</v>
      </c>
      <c r="E79" s="124">
        <f t="shared" si="31"/>
        <v>59149.397999999986</v>
      </c>
      <c r="F79" s="124">
        <f t="shared" si="31"/>
        <v>59149.397999999986</v>
      </c>
      <c r="G79" s="124">
        <f t="shared" si="31"/>
        <v>59149.397999999986</v>
      </c>
      <c r="H79" s="124">
        <f t="shared" si="31"/>
        <v>59149.397999999986</v>
      </c>
      <c r="I79" s="124">
        <f t="shared" si="31"/>
        <v>59149.397999999986</v>
      </c>
      <c r="J79" s="124">
        <f t="shared" si="31"/>
        <v>59149.397999999986</v>
      </c>
      <c r="K79" s="124">
        <f t="shared" si="31"/>
        <v>59149.397999999986</v>
      </c>
      <c r="L79" s="124">
        <f t="shared" si="31"/>
        <v>59149.397999999986</v>
      </c>
      <c r="M79" s="124">
        <f t="shared" si="31"/>
        <v>59149.397999999986</v>
      </c>
      <c r="N79" s="124">
        <f t="shared" si="31"/>
        <v>59149.397999999986</v>
      </c>
      <c r="O79" s="124">
        <f t="shared" si="31"/>
        <v>59149.397999999986</v>
      </c>
      <c r="P79" s="124">
        <f t="shared" si="31"/>
        <v>59149.397999999986</v>
      </c>
      <c r="Q79" s="124">
        <f t="shared" si="31"/>
        <v>59149.397999999986</v>
      </c>
    </row>
    <row r="80" spans="1:17" ht="15" customHeight="1" outlineLevel="1" x14ac:dyDescent="0.25">
      <c r="A80" s="123" t="s">
        <v>56</v>
      </c>
      <c r="B80" s="243"/>
      <c r="C80" s="125">
        <f t="shared" ref="C80:Q80" si="32">Payability</f>
        <v>0.96499999999999997</v>
      </c>
      <c r="D80" s="125">
        <f t="shared" si="32"/>
        <v>0.96499999999999997</v>
      </c>
      <c r="E80" s="125">
        <f t="shared" si="32"/>
        <v>0.96499999999999997</v>
      </c>
      <c r="F80" s="125">
        <f t="shared" si="32"/>
        <v>0.96499999999999997</v>
      </c>
      <c r="G80" s="125">
        <f t="shared" si="32"/>
        <v>0.96499999999999997</v>
      </c>
      <c r="H80" s="125">
        <f t="shared" si="32"/>
        <v>0.96499999999999997</v>
      </c>
      <c r="I80" s="125">
        <f t="shared" si="32"/>
        <v>0.96499999999999997</v>
      </c>
      <c r="J80" s="125">
        <f t="shared" si="32"/>
        <v>0.96499999999999997</v>
      </c>
      <c r="K80" s="125">
        <f t="shared" si="32"/>
        <v>0.96499999999999997</v>
      </c>
      <c r="L80" s="125">
        <f t="shared" si="32"/>
        <v>0.96499999999999997</v>
      </c>
      <c r="M80" s="125">
        <f t="shared" si="32"/>
        <v>0.96499999999999997</v>
      </c>
      <c r="N80" s="125">
        <f t="shared" si="32"/>
        <v>0.96499999999999997</v>
      </c>
      <c r="O80" s="125">
        <f t="shared" si="32"/>
        <v>0.96499999999999997</v>
      </c>
      <c r="P80" s="125">
        <f t="shared" si="32"/>
        <v>0.96499999999999997</v>
      </c>
      <c r="Q80" s="125">
        <f t="shared" si="32"/>
        <v>0.96499999999999997</v>
      </c>
    </row>
    <row r="81" spans="1:17" ht="15" customHeight="1" outlineLevel="1" x14ac:dyDescent="0.25">
      <c r="A81" s="123" t="s">
        <v>267</v>
      </c>
      <c r="B81" s="118"/>
      <c r="C81" s="124">
        <f t="shared" ref="C81:Q81" si="33">C79*C80</f>
        <v>34247.501441999993</v>
      </c>
      <c r="D81" s="124">
        <f t="shared" si="33"/>
        <v>48517.29370949998</v>
      </c>
      <c r="E81" s="124">
        <f t="shared" si="33"/>
        <v>57079.169069999982</v>
      </c>
      <c r="F81" s="124">
        <f t="shared" si="33"/>
        <v>57079.169069999982</v>
      </c>
      <c r="G81" s="124">
        <f t="shared" si="33"/>
        <v>57079.169069999982</v>
      </c>
      <c r="H81" s="124">
        <f t="shared" si="33"/>
        <v>57079.169069999982</v>
      </c>
      <c r="I81" s="124">
        <f t="shared" si="33"/>
        <v>57079.169069999982</v>
      </c>
      <c r="J81" s="124">
        <f t="shared" si="33"/>
        <v>57079.169069999982</v>
      </c>
      <c r="K81" s="124">
        <f t="shared" si="33"/>
        <v>57079.169069999982</v>
      </c>
      <c r="L81" s="124">
        <f t="shared" si="33"/>
        <v>57079.169069999982</v>
      </c>
      <c r="M81" s="124">
        <f t="shared" si="33"/>
        <v>57079.169069999982</v>
      </c>
      <c r="N81" s="124">
        <f t="shared" si="33"/>
        <v>57079.169069999982</v>
      </c>
      <c r="O81" s="124">
        <f t="shared" si="33"/>
        <v>57079.169069999982</v>
      </c>
      <c r="P81" s="124">
        <f t="shared" si="33"/>
        <v>57079.169069999982</v>
      </c>
      <c r="Q81" s="124">
        <f t="shared" si="33"/>
        <v>57079.169069999982</v>
      </c>
    </row>
    <row r="82" spans="1:17" ht="15" customHeight="1" outlineLevel="1" x14ac:dyDescent="0.25">
      <c r="A82" s="123" t="s">
        <v>269</v>
      </c>
      <c r="B82" s="118"/>
      <c r="C82" s="124">
        <f t="shared" ref="C82:Q82" si="34">C81*Factor_Conversion_TnLb</f>
        <v>75502726.629062027</v>
      </c>
      <c r="D82" s="124">
        <f t="shared" si="34"/>
        <v>106962196.05783784</v>
      </c>
      <c r="E82" s="124">
        <f t="shared" si="34"/>
        <v>125837877.71510336</v>
      </c>
      <c r="F82" s="124">
        <f t="shared" si="34"/>
        <v>125837877.71510336</v>
      </c>
      <c r="G82" s="124">
        <f t="shared" si="34"/>
        <v>125837877.71510336</v>
      </c>
      <c r="H82" s="124">
        <f t="shared" si="34"/>
        <v>125837877.71510336</v>
      </c>
      <c r="I82" s="124">
        <f t="shared" si="34"/>
        <v>125837877.71510336</v>
      </c>
      <c r="J82" s="124">
        <f t="shared" si="34"/>
        <v>125837877.71510336</v>
      </c>
      <c r="K82" s="124">
        <f t="shared" si="34"/>
        <v>125837877.71510336</v>
      </c>
      <c r="L82" s="124">
        <f t="shared" si="34"/>
        <v>125837877.71510336</v>
      </c>
      <c r="M82" s="124">
        <f t="shared" si="34"/>
        <v>125837877.71510336</v>
      </c>
      <c r="N82" s="124">
        <f t="shared" si="34"/>
        <v>125837877.71510336</v>
      </c>
      <c r="O82" s="124">
        <f t="shared" si="34"/>
        <v>125837877.71510336</v>
      </c>
      <c r="P82" s="124">
        <f t="shared" si="34"/>
        <v>125837877.71510336</v>
      </c>
      <c r="Q82" s="124">
        <f t="shared" si="34"/>
        <v>125837877.71510336</v>
      </c>
    </row>
    <row r="83" spans="1:17" ht="15" customHeight="1" outlineLevel="1" x14ac:dyDescent="0.25">
      <c r="A83" s="123" t="s">
        <v>227</v>
      </c>
      <c r="B83" s="244"/>
      <c r="C83" s="127">
        <f t="shared" ref="C83:Q83" si="35">$D$16</f>
        <v>5.04</v>
      </c>
      <c r="D83" s="127">
        <f t="shared" si="35"/>
        <v>5.04</v>
      </c>
      <c r="E83" s="127">
        <f t="shared" si="35"/>
        <v>5.04</v>
      </c>
      <c r="F83" s="127">
        <f t="shared" si="35"/>
        <v>5.04</v>
      </c>
      <c r="G83" s="127">
        <f t="shared" si="35"/>
        <v>5.04</v>
      </c>
      <c r="H83" s="127">
        <f t="shared" si="35"/>
        <v>5.04</v>
      </c>
      <c r="I83" s="127">
        <f t="shared" si="35"/>
        <v>5.04</v>
      </c>
      <c r="J83" s="127">
        <f t="shared" si="35"/>
        <v>5.04</v>
      </c>
      <c r="K83" s="127">
        <f t="shared" si="35"/>
        <v>5.04</v>
      </c>
      <c r="L83" s="127">
        <f t="shared" si="35"/>
        <v>5.04</v>
      </c>
      <c r="M83" s="127">
        <f t="shared" si="35"/>
        <v>5.04</v>
      </c>
      <c r="N83" s="127">
        <f t="shared" si="35"/>
        <v>5.04</v>
      </c>
      <c r="O83" s="127">
        <f t="shared" si="35"/>
        <v>5.04</v>
      </c>
      <c r="P83" s="127">
        <f t="shared" si="35"/>
        <v>5.04</v>
      </c>
      <c r="Q83" s="127">
        <f t="shared" si="35"/>
        <v>5.04</v>
      </c>
    </row>
    <row r="84" spans="1:17" ht="15" customHeight="1" outlineLevel="1" x14ac:dyDescent="0.25">
      <c r="A84" s="245" t="s">
        <v>228</v>
      </c>
      <c r="B84" s="246"/>
      <c r="C84" s="247">
        <f t="shared" ref="C84:Q84" si="36">C82*C83</f>
        <v>380533742.21047264</v>
      </c>
      <c r="D84" s="247">
        <f t="shared" si="36"/>
        <v>539089468.13150275</v>
      </c>
      <c r="E84" s="247">
        <f t="shared" si="36"/>
        <v>634222903.68412089</v>
      </c>
      <c r="F84" s="247">
        <f t="shared" si="36"/>
        <v>634222903.68412089</v>
      </c>
      <c r="G84" s="247">
        <f t="shared" si="36"/>
        <v>634222903.68412089</v>
      </c>
      <c r="H84" s="247">
        <f t="shared" si="36"/>
        <v>634222903.68412089</v>
      </c>
      <c r="I84" s="247">
        <f t="shared" si="36"/>
        <v>634222903.68412089</v>
      </c>
      <c r="J84" s="247">
        <f t="shared" si="36"/>
        <v>634222903.68412089</v>
      </c>
      <c r="K84" s="247">
        <f t="shared" si="36"/>
        <v>634222903.68412089</v>
      </c>
      <c r="L84" s="247">
        <f t="shared" si="36"/>
        <v>634222903.68412089</v>
      </c>
      <c r="M84" s="247">
        <f t="shared" si="36"/>
        <v>634222903.68412089</v>
      </c>
      <c r="N84" s="247">
        <f t="shared" si="36"/>
        <v>634222903.68412089</v>
      </c>
      <c r="O84" s="247">
        <f t="shared" si="36"/>
        <v>634222903.68412089</v>
      </c>
      <c r="P84" s="247">
        <f t="shared" si="36"/>
        <v>634222903.68412089</v>
      </c>
      <c r="Q84" s="247">
        <f t="shared" si="36"/>
        <v>634222903.68412089</v>
      </c>
    </row>
    <row r="85" spans="1:17" ht="15" customHeight="1" outlineLevel="1" x14ac:dyDescent="0.25">
      <c r="A85" s="129" t="s">
        <v>418</v>
      </c>
      <c r="B85" s="248"/>
      <c r="C85" s="131">
        <f t="shared" ref="C85:Q85" si="37">C79/Ley_Concentrado</f>
        <v>118298.79599999999</v>
      </c>
      <c r="D85" s="131">
        <f t="shared" si="37"/>
        <v>167589.96099999995</v>
      </c>
      <c r="E85" s="131">
        <f t="shared" si="37"/>
        <v>197164.65999999997</v>
      </c>
      <c r="F85" s="131">
        <f t="shared" si="37"/>
        <v>197164.65999999997</v>
      </c>
      <c r="G85" s="131">
        <f t="shared" si="37"/>
        <v>197164.65999999997</v>
      </c>
      <c r="H85" s="131">
        <f t="shared" si="37"/>
        <v>197164.65999999997</v>
      </c>
      <c r="I85" s="131">
        <f t="shared" si="37"/>
        <v>197164.65999999997</v>
      </c>
      <c r="J85" s="131">
        <f t="shared" si="37"/>
        <v>197164.65999999997</v>
      </c>
      <c r="K85" s="131">
        <f t="shared" si="37"/>
        <v>197164.65999999997</v>
      </c>
      <c r="L85" s="131">
        <f t="shared" si="37"/>
        <v>197164.65999999997</v>
      </c>
      <c r="M85" s="131">
        <f t="shared" si="37"/>
        <v>197164.65999999997</v>
      </c>
      <c r="N85" s="131">
        <f t="shared" si="37"/>
        <v>197164.65999999997</v>
      </c>
      <c r="O85" s="131">
        <f t="shared" si="37"/>
        <v>197164.65999999997</v>
      </c>
      <c r="P85" s="131">
        <f t="shared" si="37"/>
        <v>197164.65999999997</v>
      </c>
      <c r="Q85" s="131">
        <f t="shared" si="37"/>
        <v>197164.65999999997</v>
      </c>
    </row>
    <row r="86" spans="1:17" ht="15" customHeight="1" outlineLevel="1" x14ac:dyDescent="0.25">
      <c r="A86" s="129" t="s">
        <v>419</v>
      </c>
      <c r="B86" s="142"/>
      <c r="C86" s="132">
        <f t="shared" ref="C86:Q86" si="38">-C85*TC_Unitario</f>
        <v>-9463903.6799999997</v>
      </c>
      <c r="D86" s="132">
        <f t="shared" si="38"/>
        <v>-13407196.879999995</v>
      </c>
      <c r="E86" s="132">
        <f t="shared" si="38"/>
        <v>-15773172.799999997</v>
      </c>
      <c r="F86" s="132">
        <f t="shared" si="38"/>
        <v>-15773172.799999997</v>
      </c>
      <c r="G86" s="132">
        <f t="shared" si="38"/>
        <v>-15773172.799999997</v>
      </c>
      <c r="H86" s="132">
        <f t="shared" si="38"/>
        <v>-15773172.799999997</v>
      </c>
      <c r="I86" s="132">
        <f t="shared" si="38"/>
        <v>-15773172.799999997</v>
      </c>
      <c r="J86" s="132">
        <f t="shared" si="38"/>
        <v>-15773172.799999997</v>
      </c>
      <c r="K86" s="132">
        <f t="shared" si="38"/>
        <v>-15773172.799999997</v>
      </c>
      <c r="L86" s="132">
        <f t="shared" si="38"/>
        <v>-15773172.799999997</v>
      </c>
      <c r="M86" s="132">
        <f t="shared" si="38"/>
        <v>-15773172.799999997</v>
      </c>
      <c r="N86" s="132">
        <f t="shared" si="38"/>
        <v>-15773172.799999997</v>
      </c>
      <c r="O86" s="132">
        <f t="shared" si="38"/>
        <v>-15773172.799999997</v>
      </c>
      <c r="P86" s="132">
        <f t="shared" si="38"/>
        <v>-15773172.799999997</v>
      </c>
      <c r="Q86" s="132">
        <f t="shared" si="38"/>
        <v>-15773172.799999997</v>
      </c>
    </row>
    <row r="87" spans="1:17" ht="15" customHeight="1" outlineLevel="1" x14ac:dyDescent="0.25">
      <c r="A87" s="129" t="s">
        <v>420</v>
      </c>
      <c r="B87" s="142"/>
      <c r="C87" s="132">
        <f t="shared" ref="C87:Q87" si="39">-C82*RC_Unitario</f>
        <v>-6040218.1303249625</v>
      </c>
      <c r="D87" s="132">
        <f t="shared" si="39"/>
        <v>-8556975.6846270282</v>
      </c>
      <c r="E87" s="132">
        <f t="shared" si="39"/>
        <v>-10067030.217208268</v>
      </c>
      <c r="F87" s="132">
        <f t="shared" si="39"/>
        <v>-10067030.217208268</v>
      </c>
      <c r="G87" s="132">
        <f t="shared" si="39"/>
        <v>-10067030.217208268</v>
      </c>
      <c r="H87" s="132">
        <f t="shared" si="39"/>
        <v>-10067030.217208268</v>
      </c>
      <c r="I87" s="132">
        <f t="shared" si="39"/>
        <v>-10067030.217208268</v>
      </c>
      <c r="J87" s="132">
        <f t="shared" si="39"/>
        <v>-10067030.217208268</v>
      </c>
      <c r="K87" s="132">
        <f t="shared" si="39"/>
        <v>-10067030.217208268</v>
      </c>
      <c r="L87" s="132">
        <f t="shared" si="39"/>
        <v>-10067030.217208268</v>
      </c>
      <c r="M87" s="132">
        <f t="shared" si="39"/>
        <v>-10067030.217208268</v>
      </c>
      <c r="N87" s="132">
        <f t="shared" si="39"/>
        <v>-10067030.217208268</v>
      </c>
      <c r="O87" s="132">
        <f t="shared" si="39"/>
        <v>-10067030.217208268</v>
      </c>
      <c r="P87" s="132">
        <f t="shared" si="39"/>
        <v>-10067030.217208268</v>
      </c>
      <c r="Q87" s="132">
        <f t="shared" si="39"/>
        <v>-10067030.217208268</v>
      </c>
    </row>
    <row r="88" spans="1:17" ht="15" customHeight="1" outlineLevel="1" x14ac:dyDescent="0.25">
      <c r="A88" s="133" t="s">
        <v>421</v>
      </c>
      <c r="B88" s="249"/>
      <c r="C88" s="135">
        <f t="shared" ref="C88:Q88" si="40">C84+C86+C87</f>
        <v>365029620.40014768</v>
      </c>
      <c r="D88" s="135">
        <f t="shared" si="40"/>
        <v>517125295.5668757</v>
      </c>
      <c r="E88" s="135">
        <f t="shared" si="40"/>
        <v>608382700.66691267</v>
      </c>
      <c r="F88" s="135">
        <f t="shared" si="40"/>
        <v>608382700.66691267</v>
      </c>
      <c r="G88" s="135">
        <f t="shared" si="40"/>
        <v>608382700.66691267</v>
      </c>
      <c r="H88" s="135">
        <f t="shared" si="40"/>
        <v>608382700.66691267</v>
      </c>
      <c r="I88" s="135">
        <f t="shared" si="40"/>
        <v>608382700.66691267</v>
      </c>
      <c r="J88" s="135">
        <f t="shared" si="40"/>
        <v>608382700.66691267</v>
      </c>
      <c r="K88" s="135">
        <f t="shared" si="40"/>
        <v>608382700.66691267</v>
      </c>
      <c r="L88" s="135">
        <f t="shared" si="40"/>
        <v>608382700.66691267</v>
      </c>
      <c r="M88" s="135">
        <f t="shared" si="40"/>
        <v>608382700.66691267</v>
      </c>
      <c r="N88" s="135">
        <f t="shared" si="40"/>
        <v>608382700.66691267</v>
      </c>
      <c r="O88" s="135">
        <f t="shared" si="40"/>
        <v>608382700.66691267</v>
      </c>
      <c r="P88" s="135">
        <f t="shared" si="40"/>
        <v>608382700.66691267</v>
      </c>
      <c r="Q88" s="135">
        <f t="shared" si="40"/>
        <v>608382700.66691267</v>
      </c>
    </row>
    <row r="89" spans="1:17" ht="15" customHeight="1" outlineLevel="1" x14ac:dyDescent="0.25">
      <c r="A89" s="129" t="s">
        <v>422</v>
      </c>
      <c r="B89" s="142"/>
      <c r="C89" s="132">
        <f t="shared" ref="C89:Q89" si="41">-C75*Costo_Mina_Unitario</f>
        <v>-21696000</v>
      </c>
      <c r="D89" s="132">
        <f t="shared" si="41"/>
        <v>-30735999.999999996</v>
      </c>
      <c r="E89" s="132">
        <f t="shared" si="41"/>
        <v>-36159999.999999993</v>
      </c>
      <c r="F89" s="132">
        <f t="shared" si="41"/>
        <v>-36159999.999999993</v>
      </c>
      <c r="G89" s="132">
        <f t="shared" si="41"/>
        <v>-36159999.999999993</v>
      </c>
      <c r="H89" s="132">
        <f t="shared" si="41"/>
        <v>-36159999.999999993</v>
      </c>
      <c r="I89" s="132">
        <f t="shared" si="41"/>
        <v>-36159999.999999993</v>
      </c>
      <c r="J89" s="132">
        <f t="shared" si="41"/>
        <v>-36159999.999999993</v>
      </c>
      <c r="K89" s="132">
        <f t="shared" si="41"/>
        <v>-36159999.999999993</v>
      </c>
      <c r="L89" s="132">
        <f t="shared" si="41"/>
        <v>-36159999.999999993</v>
      </c>
      <c r="M89" s="132">
        <f t="shared" si="41"/>
        <v>-36159999.999999993</v>
      </c>
      <c r="N89" s="132">
        <f t="shared" si="41"/>
        <v>-36159999.999999993</v>
      </c>
      <c r="O89" s="132">
        <f t="shared" si="41"/>
        <v>-36159999.999999993</v>
      </c>
      <c r="P89" s="132">
        <f t="shared" si="41"/>
        <v>-36159999.999999993</v>
      </c>
      <c r="Q89" s="132">
        <f t="shared" si="41"/>
        <v>-36159999.999999993</v>
      </c>
    </row>
    <row r="90" spans="1:17" ht="15" customHeight="1" outlineLevel="1" x14ac:dyDescent="0.25">
      <c r="A90" s="129" t="s">
        <v>423</v>
      </c>
      <c r="B90" s="142"/>
      <c r="C90" s="132">
        <f t="shared" ref="C90:Q90" si="42">-C75*Costo_Planta_Unitario</f>
        <v>-31865999.999999996</v>
      </c>
      <c r="D90" s="132">
        <f t="shared" si="42"/>
        <v>-45143499.999999993</v>
      </c>
      <c r="E90" s="132">
        <f t="shared" si="42"/>
        <v>-53109999.999999993</v>
      </c>
      <c r="F90" s="132">
        <f t="shared" si="42"/>
        <v>-53109999.999999993</v>
      </c>
      <c r="G90" s="132">
        <f t="shared" si="42"/>
        <v>-53109999.999999993</v>
      </c>
      <c r="H90" s="132">
        <f t="shared" si="42"/>
        <v>-53109999.999999993</v>
      </c>
      <c r="I90" s="132">
        <f t="shared" si="42"/>
        <v>-53109999.999999993</v>
      </c>
      <c r="J90" s="132">
        <f t="shared" si="42"/>
        <v>-53109999.999999993</v>
      </c>
      <c r="K90" s="132">
        <f t="shared" si="42"/>
        <v>-53109999.999999993</v>
      </c>
      <c r="L90" s="132">
        <f t="shared" si="42"/>
        <v>-53109999.999999993</v>
      </c>
      <c r="M90" s="132">
        <f t="shared" si="42"/>
        <v>-53109999.999999993</v>
      </c>
      <c r="N90" s="132">
        <f t="shared" si="42"/>
        <v>-53109999.999999993</v>
      </c>
      <c r="O90" s="132">
        <f t="shared" si="42"/>
        <v>-53109999.999999993</v>
      </c>
      <c r="P90" s="132">
        <f t="shared" si="42"/>
        <v>-53109999.999999993</v>
      </c>
      <c r="Q90" s="132">
        <f t="shared" si="42"/>
        <v>-53109999.999999993</v>
      </c>
    </row>
    <row r="91" spans="1:17" ht="15" customHeight="1" outlineLevel="1" x14ac:dyDescent="0.25">
      <c r="A91" s="129" t="s">
        <v>259</v>
      </c>
      <c r="B91" s="137"/>
      <c r="C91" s="136">
        <f t="shared" ref="C91:Q91" si="43">Mano_Obra_Fija</f>
        <v>-11000000</v>
      </c>
      <c r="D91" s="136">
        <f t="shared" si="43"/>
        <v>-11000000</v>
      </c>
      <c r="E91" s="136">
        <f t="shared" si="43"/>
        <v>-11000000</v>
      </c>
      <c r="F91" s="136">
        <f t="shared" si="43"/>
        <v>-11000000</v>
      </c>
      <c r="G91" s="136">
        <f t="shared" si="43"/>
        <v>-11000000</v>
      </c>
      <c r="H91" s="136">
        <f t="shared" si="43"/>
        <v>-11000000</v>
      </c>
      <c r="I91" s="136">
        <f t="shared" si="43"/>
        <v>-11000000</v>
      </c>
      <c r="J91" s="136">
        <f t="shared" si="43"/>
        <v>-11000000</v>
      </c>
      <c r="K91" s="136">
        <f t="shared" si="43"/>
        <v>-11000000</v>
      </c>
      <c r="L91" s="136">
        <f t="shared" si="43"/>
        <v>-11000000</v>
      </c>
      <c r="M91" s="136">
        <f t="shared" si="43"/>
        <v>-11000000</v>
      </c>
      <c r="N91" s="136">
        <f t="shared" si="43"/>
        <v>-11000000</v>
      </c>
      <c r="O91" s="136">
        <f t="shared" si="43"/>
        <v>-11000000</v>
      </c>
      <c r="P91" s="136">
        <f t="shared" si="43"/>
        <v>-11000000</v>
      </c>
      <c r="Q91" s="136">
        <f t="shared" si="43"/>
        <v>-11000000</v>
      </c>
    </row>
    <row r="92" spans="1:17" ht="15" customHeight="1" outlineLevel="1" x14ac:dyDescent="0.25">
      <c r="A92" s="129" t="s">
        <v>424</v>
      </c>
      <c r="B92" s="137"/>
      <c r="C92" s="136">
        <f t="shared" ref="C92:Q92" si="44">GA_Fijo</f>
        <v>-45000000</v>
      </c>
      <c r="D92" s="136">
        <f t="shared" si="44"/>
        <v>-45000000</v>
      </c>
      <c r="E92" s="136">
        <f t="shared" si="44"/>
        <v>-45000000</v>
      </c>
      <c r="F92" s="136">
        <f t="shared" si="44"/>
        <v>-45000000</v>
      </c>
      <c r="G92" s="136">
        <f t="shared" si="44"/>
        <v>-45000000</v>
      </c>
      <c r="H92" s="136">
        <f t="shared" si="44"/>
        <v>-45000000</v>
      </c>
      <c r="I92" s="136">
        <f t="shared" si="44"/>
        <v>-45000000</v>
      </c>
      <c r="J92" s="136">
        <f t="shared" si="44"/>
        <v>-45000000</v>
      </c>
      <c r="K92" s="136">
        <f t="shared" si="44"/>
        <v>-45000000</v>
      </c>
      <c r="L92" s="136">
        <f t="shared" si="44"/>
        <v>-45000000</v>
      </c>
      <c r="M92" s="136">
        <f t="shared" si="44"/>
        <v>-45000000</v>
      </c>
      <c r="N92" s="136">
        <f t="shared" si="44"/>
        <v>-45000000</v>
      </c>
      <c r="O92" s="136">
        <f t="shared" si="44"/>
        <v>-45000000</v>
      </c>
      <c r="P92" s="136">
        <f t="shared" si="44"/>
        <v>-45000000</v>
      </c>
      <c r="Q92" s="136">
        <f t="shared" si="44"/>
        <v>-45000000</v>
      </c>
    </row>
    <row r="93" spans="1:17" ht="15" customHeight="1" outlineLevel="1" x14ac:dyDescent="0.25">
      <c r="A93" s="133" t="s">
        <v>533</v>
      </c>
      <c r="B93" s="249"/>
      <c r="C93" s="135">
        <f t="shared" ref="C93:Q93" si="45">(C89+C90+C91+C92)*(1+$D$10)</f>
        <v>-104083900</v>
      </c>
      <c r="D93" s="135">
        <f t="shared" si="45"/>
        <v>-125285524.99999999</v>
      </c>
      <c r="E93" s="135">
        <f t="shared" si="45"/>
        <v>-138006500</v>
      </c>
      <c r="F93" s="135">
        <f t="shared" si="45"/>
        <v>-138006500</v>
      </c>
      <c r="G93" s="135">
        <f t="shared" si="45"/>
        <v>-138006500</v>
      </c>
      <c r="H93" s="135">
        <f t="shared" si="45"/>
        <v>-138006500</v>
      </c>
      <c r="I93" s="135">
        <f t="shared" si="45"/>
        <v>-138006500</v>
      </c>
      <c r="J93" s="135">
        <f t="shared" si="45"/>
        <v>-138006500</v>
      </c>
      <c r="K93" s="135">
        <f t="shared" si="45"/>
        <v>-138006500</v>
      </c>
      <c r="L93" s="135">
        <f t="shared" si="45"/>
        <v>-138006500</v>
      </c>
      <c r="M93" s="135">
        <f t="shared" si="45"/>
        <v>-138006500</v>
      </c>
      <c r="N93" s="135">
        <f t="shared" si="45"/>
        <v>-138006500</v>
      </c>
      <c r="O93" s="135">
        <f t="shared" si="45"/>
        <v>-138006500</v>
      </c>
      <c r="P93" s="135">
        <f t="shared" si="45"/>
        <v>-138006500</v>
      </c>
      <c r="Q93" s="135">
        <f t="shared" si="45"/>
        <v>-138006500</v>
      </c>
    </row>
    <row r="94" spans="1:17" ht="15" customHeight="1" outlineLevel="1" x14ac:dyDescent="0.25">
      <c r="A94" s="133" t="s">
        <v>425</v>
      </c>
      <c r="B94" s="249"/>
      <c r="C94" s="135">
        <f t="shared" ref="C94:Q94" si="46">C88+C93</f>
        <v>260945720.40014768</v>
      </c>
      <c r="D94" s="135">
        <f t="shared" si="46"/>
        <v>391839770.5668757</v>
      </c>
      <c r="E94" s="135">
        <f t="shared" si="46"/>
        <v>470376200.66691267</v>
      </c>
      <c r="F94" s="135">
        <f t="shared" si="46"/>
        <v>470376200.66691267</v>
      </c>
      <c r="G94" s="135">
        <f t="shared" si="46"/>
        <v>470376200.66691267</v>
      </c>
      <c r="H94" s="135">
        <f t="shared" si="46"/>
        <v>470376200.66691267</v>
      </c>
      <c r="I94" s="135">
        <f t="shared" si="46"/>
        <v>470376200.66691267</v>
      </c>
      <c r="J94" s="135">
        <f t="shared" si="46"/>
        <v>470376200.66691267</v>
      </c>
      <c r="K94" s="135">
        <f t="shared" si="46"/>
        <v>470376200.66691267</v>
      </c>
      <c r="L94" s="135">
        <f t="shared" si="46"/>
        <v>470376200.66691267</v>
      </c>
      <c r="M94" s="135">
        <f t="shared" si="46"/>
        <v>470376200.66691267</v>
      </c>
      <c r="N94" s="135">
        <f t="shared" si="46"/>
        <v>470376200.66691267</v>
      </c>
      <c r="O94" s="135">
        <f t="shared" si="46"/>
        <v>470376200.66691267</v>
      </c>
      <c r="P94" s="135">
        <f t="shared" si="46"/>
        <v>470376200.66691267</v>
      </c>
      <c r="Q94" s="135">
        <f t="shared" si="46"/>
        <v>470376200.66691267</v>
      </c>
    </row>
    <row r="95" spans="1:17" ht="15" customHeight="1" outlineLevel="1" x14ac:dyDescent="0.25">
      <c r="A95" s="129" t="s">
        <v>426</v>
      </c>
      <c r="B95" s="142">
        <f>$D$19</f>
        <v>-702240000</v>
      </c>
      <c r="C95" s="132">
        <f>0</f>
        <v>0</v>
      </c>
      <c r="D95" s="132">
        <f>0</f>
        <v>0</v>
      </c>
      <c r="E95" s="132">
        <f>0</f>
        <v>0</v>
      </c>
      <c r="F95" s="132">
        <f>0</f>
        <v>0</v>
      </c>
      <c r="G95" s="132">
        <f>0</f>
        <v>0</v>
      </c>
      <c r="H95" s="132">
        <f>0</f>
        <v>0</v>
      </c>
      <c r="I95" s="132">
        <f>0</f>
        <v>0</v>
      </c>
      <c r="J95" s="132">
        <f>0</f>
        <v>0</v>
      </c>
      <c r="K95" s="132">
        <f>0</f>
        <v>0</v>
      </c>
      <c r="L95" s="132">
        <f>0</f>
        <v>0</v>
      </c>
      <c r="M95" s="132">
        <f>0</f>
        <v>0</v>
      </c>
      <c r="N95" s="132">
        <f>0</f>
        <v>0</v>
      </c>
      <c r="O95" s="132">
        <f>0</f>
        <v>0</v>
      </c>
      <c r="P95" s="132">
        <f>0</f>
        <v>0</v>
      </c>
      <c r="Q95" s="132">
        <f>0</f>
        <v>0</v>
      </c>
    </row>
    <row r="96" spans="1:17" outlineLevel="1" x14ac:dyDescent="0.25">
      <c r="A96" s="123" t="s">
        <v>215</v>
      </c>
      <c r="B96" s="126"/>
      <c r="C96" s="128">
        <f t="shared" ref="C96:Q96" si="47">$B$95*(C75/Reservas_Totales)</f>
        <v>-31741247.999999996</v>
      </c>
      <c r="D96" s="128">
        <f t="shared" si="47"/>
        <v>-44966767.999999985</v>
      </c>
      <c r="E96" s="128">
        <f t="shared" si="47"/>
        <v>-52902079.999999993</v>
      </c>
      <c r="F96" s="128">
        <f t="shared" si="47"/>
        <v>-52902079.999999993</v>
      </c>
      <c r="G96" s="128">
        <f t="shared" si="47"/>
        <v>-52902079.999999993</v>
      </c>
      <c r="H96" s="128">
        <f t="shared" si="47"/>
        <v>-52902079.999999993</v>
      </c>
      <c r="I96" s="128">
        <f t="shared" si="47"/>
        <v>-52902079.999999993</v>
      </c>
      <c r="J96" s="128">
        <f t="shared" si="47"/>
        <v>-52902079.999999993</v>
      </c>
      <c r="K96" s="128">
        <f t="shared" si="47"/>
        <v>-52902079.999999993</v>
      </c>
      <c r="L96" s="128">
        <f t="shared" si="47"/>
        <v>-52902079.999999993</v>
      </c>
      <c r="M96" s="128">
        <f t="shared" si="47"/>
        <v>-52902079.999999993</v>
      </c>
      <c r="N96" s="128">
        <f t="shared" si="47"/>
        <v>-52902079.999999993</v>
      </c>
      <c r="O96" s="128">
        <f t="shared" si="47"/>
        <v>-52902079.999999993</v>
      </c>
      <c r="P96" s="128">
        <f t="shared" si="47"/>
        <v>-52902079.999999993</v>
      </c>
      <c r="Q96" s="128">
        <f t="shared" si="47"/>
        <v>-52902079.999999993</v>
      </c>
    </row>
    <row r="97" spans="1:17" outlineLevel="1" x14ac:dyDescent="0.25">
      <c r="A97" s="133" t="s">
        <v>427</v>
      </c>
      <c r="B97" s="249"/>
      <c r="C97" s="135">
        <f t="shared" ref="C97:Q97" si="48">C94+C96</f>
        <v>229204472.40014768</v>
      </c>
      <c r="D97" s="135">
        <f t="shared" si="48"/>
        <v>346873002.5668757</v>
      </c>
      <c r="E97" s="135">
        <f t="shared" si="48"/>
        <v>417474120.66691267</v>
      </c>
      <c r="F97" s="135">
        <f t="shared" si="48"/>
        <v>417474120.66691267</v>
      </c>
      <c r="G97" s="135">
        <f t="shared" si="48"/>
        <v>417474120.66691267</v>
      </c>
      <c r="H97" s="135">
        <f t="shared" si="48"/>
        <v>417474120.66691267</v>
      </c>
      <c r="I97" s="135">
        <f t="shared" si="48"/>
        <v>417474120.66691267</v>
      </c>
      <c r="J97" s="135">
        <f t="shared" si="48"/>
        <v>417474120.66691267</v>
      </c>
      <c r="K97" s="135">
        <f t="shared" si="48"/>
        <v>417474120.66691267</v>
      </c>
      <c r="L97" s="135">
        <f t="shared" si="48"/>
        <v>417474120.66691267</v>
      </c>
      <c r="M97" s="135">
        <f t="shared" si="48"/>
        <v>417474120.66691267</v>
      </c>
      <c r="N97" s="135">
        <f t="shared" si="48"/>
        <v>417474120.66691267</v>
      </c>
      <c r="O97" s="135">
        <f t="shared" si="48"/>
        <v>417474120.66691267</v>
      </c>
      <c r="P97" s="135">
        <f t="shared" si="48"/>
        <v>417474120.66691267</v>
      </c>
      <c r="Q97" s="135">
        <f t="shared" si="48"/>
        <v>417474120.66691267</v>
      </c>
    </row>
    <row r="98" spans="1:17" outlineLevel="1" x14ac:dyDescent="0.25">
      <c r="A98" s="129" t="s">
        <v>428</v>
      </c>
      <c r="B98" s="142"/>
      <c r="C98" s="132">
        <f t="shared" ref="C98:Q98" si="49">-Tasa_Impuesto*MAX(C97,0)</f>
        <v>-80221565.340051681</v>
      </c>
      <c r="D98" s="132">
        <f t="shared" si="49"/>
        <v>-121405550.89840649</v>
      </c>
      <c r="E98" s="132">
        <f t="shared" si="49"/>
        <v>-146115942.23341942</v>
      </c>
      <c r="F98" s="132">
        <f t="shared" si="49"/>
        <v>-146115942.23341942</v>
      </c>
      <c r="G98" s="132">
        <f t="shared" si="49"/>
        <v>-146115942.23341942</v>
      </c>
      <c r="H98" s="132">
        <f t="shared" si="49"/>
        <v>-146115942.23341942</v>
      </c>
      <c r="I98" s="132">
        <f t="shared" si="49"/>
        <v>-146115942.23341942</v>
      </c>
      <c r="J98" s="132">
        <f t="shared" si="49"/>
        <v>-146115942.23341942</v>
      </c>
      <c r="K98" s="132">
        <f t="shared" si="49"/>
        <v>-146115942.23341942</v>
      </c>
      <c r="L98" s="132">
        <f t="shared" si="49"/>
        <v>-146115942.23341942</v>
      </c>
      <c r="M98" s="132">
        <f t="shared" si="49"/>
        <v>-146115942.23341942</v>
      </c>
      <c r="N98" s="132">
        <f t="shared" si="49"/>
        <v>-146115942.23341942</v>
      </c>
      <c r="O98" s="132">
        <f t="shared" si="49"/>
        <v>-146115942.23341942</v>
      </c>
      <c r="P98" s="132">
        <f t="shared" si="49"/>
        <v>-146115942.23341942</v>
      </c>
      <c r="Q98" s="132">
        <f t="shared" si="49"/>
        <v>-146115942.23341942</v>
      </c>
    </row>
    <row r="99" spans="1:17" outlineLevel="1" x14ac:dyDescent="0.25">
      <c r="A99" s="250" t="s">
        <v>429</v>
      </c>
      <c r="B99" s="251"/>
      <c r="C99" s="252">
        <v>0</v>
      </c>
      <c r="D99" s="252">
        <v>0</v>
      </c>
      <c r="E99" s="252">
        <v>0</v>
      </c>
      <c r="F99" s="252">
        <v>0</v>
      </c>
      <c r="G99" s="252">
        <v>0</v>
      </c>
      <c r="H99" s="252">
        <v>0</v>
      </c>
      <c r="I99" s="252">
        <v>0</v>
      </c>
      <c r="J99" s="252">
        <v>0</v>
      </c>
      <c r="K99" s="252">
        <v>0</v>
      </c>
      <c r="L99" s="252">
        <v>0</v>
      </c>
      <c r="M99" s="252">
        <v>0</v>
      </c>
      <c r="N99" s="252">
        <v>0</v>
      </c>
      <c r="O99" s="252">
        <v>0</v>
      </c>
      <c r="P99" s="252">
        <v>0</v>
      </c>
      <c r="Q99" s="252">
        <v>0</v>
      </c>
    </row>
    <row r="100" spans="1:17" outlineLevel="1" x14ac:dyDescent="0.25">
      <c r="A100" s="250" t="s">
        <v>430</v>
      </c>
      <c r="B100" s="251">
        <v>0</v>
      </c>
      <c r="C100" s="252">
        <v>0</v>
      </c>
      <c r="D100" s="252">
        <v>0</v>
      </c>
      <c r="E100" s="252">
        <v>0</v>
      </c>
      <c r="F100" s="252">
        <v>0</v>
      </c>
      <c r="G100" s="252">
        <v>0</v>
      </c>
      <c r="H100" s="252">
        <v>0</v>
      </c>
      <c r="I100" s="252">
        <v>0</v>
      </c>
      <c r="J100" s="252">
        <v>0</v>
      </c>
      <c r="K100" s="252">
        <v>0</v>
      </c>
      <c r="L100" s="252">
        <v>0</v>
      </c>
      <c r="M100" s="252">
        <v>0</v>
      </c>
      <c r="N100" s="252">
        <v>0</v>
      </c>
      <c r="O100" s="252">
        <v>0</v>
      </c>
      <c r="P100" s="252">
        <v>0</v>
      </c>
      <c r="Q100" s="252">
        <f>$D$19*Tasa_Provision_Cierre</f>
        <v>-70224000</v>
      </c>
    </row>
    <row r="101" spans="1:17" outlineLevel="1" x14ac:dyDescent="0.25">
      <c r="A101" s="139" t="s">
        <v>431</v>
      </c>
      <c r="B101" s="253">
        <f>B94+B95+B98+B99+B100</f>
        <v>-702240000</v>
      </c>
      <c r="C101" s="141">
        <f t="shared" ref="C101:Q101" si="50">C94+C98+C99+C100</f>
        <v>180724155.060096</v>
      </c>
      <c r="D101" s="141">
        <f t="shared" si="50"/>
        <v>270434219.66846919</v>
      </c>
      <c r="E101" s="141">
        <f t="shared" si="50"/>
        <v>324260258.43349326</v>
      </c>
      <c r="F101" s="141">
        <f t="shared" si="50"/>
        <v>324260258.43349326</v>
      </c>
      <c r="G101" s="141">
        <f t="shared" si="50"/>
        <v>324260258.43349326</v>
      </c>
      <c r="H101" s="141">
        <f t="shared" si="50"/>
        <v>324260258.43349326</v>
      </c>
      <c r="I101" s="141">
        <f t="shared" si="50"/>
        <v>324260258.43349326</v>
      </c>
      <c r="J101" s="141">
        <f t="shared" si="50"/>
        <v>324260258.43349326</v>
      </c>
      <c r="K101" s="141">
        <f t="shared" si="50"/>
        <v>324260258.43349326</v>
      </c>
      <c r="L101" s="141">
        <f t="shared" si="50"/>
        <v>324260258.43349326</v>
      </c>
      <c r="M101" s="141">
        <f t="shared" si="50"/>
        <v>324260258.43349326</v>
      </c>
      <c r="N101" s="141">
        <f t="shared" si="50"/>
        <v>324260258.43349326</v>
      </c>
      <c r="O101" s="141">
        <f t="shared" si="50"/>
        <v>324260258.43349326</v>
      </c>
      <c r="P101" s="141">
        <f t="shared" si="50"/>
        <v>324260258.43349326</v>
      </c>
      <c r="Q101" s="141">
        <f t="shared" si="50"/>
        <v>254036258.43349326</v>
      </c>
    </row>
    <row r="102" spans="1:17" outlineLevel="1" x14ac:dyDescent="0.25">
      <c r="A102" s="129" t="s">
        <v>432</v>
      </c>
      <c r="B102" s="142">
        <f>B101</f>
        <v>-702240000</v>
      </c>
      <c r="C102" s="132">
        <f t="shared" ref="C102:Q102" si="51">B102+C101</f>
        <v>-521515844.93990397</v>
      </c>
      <c r="D102" s="132">
        <f t="shared" si="51"/>
        <v>-251081625.27143478</v>
      </c>
      <c r="E102" s="132">
        <f t="shared" si="51"/>
        <v>73178633.162058473</v>
      </c>
      <c r="F102" s="132">
        <f t="shared" si="51"/>
        <v>397438891.59555173</v>
      </c>
      <c r="G102" s="132">
        <f t="shared" si="51"/>
        <v>721699150.02904499</v>
      </c>
      <c r="H102" s="132">
        <f t="shared" si="51"/>
        <v>1045959408.4625382</v>
      </c>
      <c r="I102" s="132">
        <f t="shared" si="51"/>
        <v>1370219666.8960314</v>
      </c>
      <c r="J102" s="132">
        <f t="shared" si="51"/>
        <v>1694479925.3295245</v>
      </c>
      <c r="K102" s="132">
        <f t="shared" si="51"/>
        <v>2018740183.7630177</v>
      </c>
      <c r="L102" s="132">
        <f t="shared" si="51"/>
        <v>2343000442.1965108</v>
      </c>
      <c r="M102" s="132">
        <f t="shared" si="51"/>
        <v>2667260700.6300039</v>
      </c>
      <c r="N102" s="132">
        <f t="shared" si="51"/>
        <v>2991520959.0634971</v>
      </c>
      <c r="O102" s="132">
        <f t="shared" si="51"/>
        <v>3315781217.4969902</v>
      </c>
      <c r="P102" s="132">
        <f t="shared" si="51"/>
        <v>3640041475.9304833</v>
      </c>
      <c r="Q102" s="132">
        <f t="shared" si="51"/>
        <v>3894077734.3639765</v>
      </c>
    </row>
    <row r="103" spans="1:17" outlineLevel="1" x14ac:dyDescent="0.25">
      <c r="A103" s="139" t="s">
        <v>450</v>
      </c>
      <c r="B103" s="141">
        <f>B101+NPV(WACC,C101:Q101)</f>
        <v>1572326542.8453856</v>
      </c>
      <c r="C103" s="109"/>
      <c r="D103" s="109"/>
      <c r="E103" s="109"/>
      <c r="F103" s="109"/>
      <c r="G103" s="109"/>
      <c r="H103" s="109"/>
      <c r="I103" s="109"/>
      <c r="J103" s="109"/>
      <c r="K103" s="109"/>
    </row>
    <row r="104" spans="1:17" outlineLevel="1" x14ac:dyDescent="0.25">
      <c r="A104" s="139" t="s">
        <v>452</v>
      </c>
      <c r="B104" s="204">
        <f>IFERROR(IRR(B101:Q101),"N/A")</f>
        <v>0.38570995674013497</v>
      </c>
      <c r="C104" s="109"/>
      <c r="D104" s="109"/>
      <c r="E104" s="109"/>
      <c r="F104" s="109"/>
      <c r="G104" s="109"/>
      <c r="H104" s="109"/>
      <c r="I104" s="109"/>
      <c r="J104" s="109"/>
      <c r="K104" s="109"/>
    </row>
    <row r="105" spans="1:17" ht="30" outlineLevel="1" x14ac:dyDescent="0.25">
      <c r="A105" s="108" t="s">
        <v>434</v>
      </c>
      <c r="B105" s="132">
        <v>0</v>
      </c>
      <c r="C105" s="132">
        <f t="shared" ref="C105:Q105" si="52">(1-Tasa_Impuesto)*C82</f>
        <v>49076772.30889032</v>
      </c>
      <c r="D105" s="132">
        <f t="shared" si="52"/>
        <v>69525427.437594607</v>
      </c>
      <c r="E105" s="132">
        <f t="shared" si="52"/>
        <v>81794620.514817178</v>
      </c>
      <c r="F105" s="132">
        <f t="shared" si="52"/>
        <v>81794620.514817178</v>
      </c>
      <c r="G105" s="132">
        <f t="shared" si="52"/>
        <v>81794620.514817178</v>
      </c>
      <c r="H105" s="132">
        <f t="shared" si="52"/>
        <v>81794620.514817178</v>
      </c>
      <c r="I105" s="132">
        <f t="shared" si="52"/>
        <v>81794620.514817178</v>
      </c>
      <c r="J105" s="132">
        <f t="shared" si="52"/>
        <v>81794620.514817178</v>
      </c>
      <c r="K105" s="132">
        <f t="shared" si="52"/>
        <v>81794620.514817178</v>
      </c>
      <c r="L105" s="132">
        <f t="shared" si="52"/>
        <v>81794620.514817178</v>
      </c>
      <c r="M105" s="132">
        <f t="shared" si="52"/>
        <v>81794620.514817178</v>
      </c>
      <c r="N105" s="132">
        <f t="shared" si="52"/>
        <v>81794620.514817178</v>
      </c>
      <c r="O105" s="132">
        <f t="shared" si="52"/>
        <v>81794620.514817178</v>
      </c>
      <c r="P105" s="132">
        <f t="shared" si="52"/>
        <v>81794620.514817178</v>
      </c>
      <c r="Q105" s="132">
        <f t="shared" si="52"/>
        <v>81794620.514817178</v>
      </c>
    </row>
    <row r="106" spans="1:17" outlineLevel="1" x14ac:dyDescent="0.25">
      <c r="A106" s="108" t="s">
        <v>435</v>
      </c>
      <c r="B106" s="132">
        <v>0</v>
      </c>
      <c r="C106" s="132">
        <f t="shared" ref="C106:Q106" si="53">(1-Tasa_Impuesto)*(C86+C87+C93)-Tasa_Impuesto*C96+C100</f>
        <v>-66622777.376711234</v>
      </c>
      <c r="D106" s="132">
        <f t="shared" si="53"/>
        <v>-79973934.617007554</v>
      </c>
      <c r="E106" s="132">
        <f t="shared" si="53"/>
        <v>-87984628.961185381</v>
      </c>
      <c r="F106" s="132">
        <f t="shared" si="53"/>
        <v>-87984628.961185381</v>
      </c>
      <c r="G106" s="132">
        <f t="shared" si="53"/>
        <v>-87984628.961185381</v>
      </c>
      <c r="H106" s="132">
        <f t="shared" si="53"/>
        <v>-87984628.961185381</v>
      </c>
      <c r="I106" s="132">
        <f t="shared" si="53"/>
        <v>-87984628.961185381</v>
      </c>
      <c r="J106" s="132">
        <f t="shared" si="53"/>
        <v>-87984628.961185381</v>
      </c>
      <c r="K106" s="132">
        <f t="shared" si="53"/>
        <v>-87984628.961185381</v>
      </c>
      <c r="L106" s="132">
        <f t="shared" si="53"/>
        <v>-87984628.961185381</v>
      </c>
      <c r="M106" s="132">
        <f t="shared" si="53"/>
        <v>-87984628.961185381</v>
      </c>
      <c r="N106" s="132">
        <f t="shared" si="53"/>
        <v>-87984628.961185381</v>
      </c>
      <c r="O106" s="132">
        <f t="shared" si="53"/>
        <v>-87984628.961185381</v>
      </c>
      <c r="P106" s="132">
        <f t="shared" si="53"/>
        <v>-87984628.961185381</v>
      </c>
      <c r="Q106" s="132">
        <f t="shared" si="53"/>
        <v>-158208628.9611854</v>
      </c>
    </row>
    <row r="107" spans="1:17" outlineLevel="1" x14ac:dyDescent="0.25">
      <c r="A107" s="108"/>
      <c r="B107" s="109"/>
      <c r="C107" s="254" t="s">
        <v>200</v>
      </c>
      <c r="D107" s="254" t="s">
        <v>534</v>
      </c>
      <c r="E107" s="254" t="s">
        <v>535</v>
      </c>
      <c r="F107" s="109"/>
      <c r="G107" s="109"/>
      <c r="H107" s="109"/>
      <c r="I107" s="109"/>
      <c r="J107" s="109"/>
      <c r="K107" s="109"/>
      <c r="L107"/>
      <c r="M107"/>
      <c r="N107"/>
      <c r="O107"/>
      <c r="P107"/>
      <c r="Q107"/>
    </row>
    <row r="108" spans="1:17" x14ac:dyDescent="0.25">
      <c r="A108" s="3" t="s">
        <v>436</v>
      </c>
      <c r="B108" s="109"/>
      <c r="C108" s="131">
        <f>SUM(C75:Q75)</f>
        <v>163284999.99999997</v>
      </c>
      <c r="D108" s="144">
        <f>Reservas_Totales</f>
        <v>150000000</v>
      </c>
      <c r="E108" s="131">
        <f>C106-D106</f>
        <v>13351157.240296319</v>
      </c>
      <c r="F108" s="109"/>
      <c r="G108" s="109"/>
      <c r="H108" s="109"/>
      <c r="I108" s="109"/>
      <c r="J108" s="109"/>
      <c r="K108" s="109"/>
      <c r="L108"/>
      <c r="M108"/>
      <c r="N108"/>
      <c r="O108"/>
      <c r="P108"/>
      <c r="Q108"/>
    </row>
    <row r="109" spans="1:17" x14ac:dyDescent="0.25">
      <c r="A109" s="257" t="s">
        <v>537</v>
      </c>
      <c r="B109" s="257"/>
      <c r="C109" s="257"/>
      <c r="D109" s="257"/>
      <c r="E109" s="257"/>
      <c r="F109" s="257"/>
      <c r="G109" s="257"/>
      <c r="H109" s="257"/>
      <c r="I109" s="257"/>
      <c r="J109" s="257"/>
      <c r="K109" s="257"/>
      <c r="L109" s="257"/>
      <c r="M109" s="257"/>
      <c r="N109" s="257"/>
      <c r="O109" s="257"/>
      <c r="P109" s="257"/>
      <c r="Q109" s="257"/>
    </row>
    <row r="110" spans="1:17" x14ac:dyDescent="0.25">
      <c r="A110" s="256"/>
      <c r="B110" s="256"/>
      <c r="C110" s="256"/>
      <c r="D110" s="256"/>
      <c r="E110" s="256"/>
      <c r="F110" s="256"/>
      <c r="G110" s="256"/>
      <c r="H110" s="256"/>
      <c r="I110" s="256"/>
      <c r="J110" s="256"/>
      <c r="K110" s="256"/>
      <c r="L110" s="256"/>
      <c r="M110" s="256"/>
      <c r="N110" s="256"/>
      <c r="O110" s="256"/>
      <c r="P110" s="256"/>
      <c r="Q110" s="256"/>
    </row>
    <row r="111" spans="1:17" outlineLevel="1" x14ac:dyDescent="0.25">
      <c r="A111" s="110" t="s">
        <v>196</v>
      </c>
      <c r="B111" s="201" t="s">
        <v>399</v>
      </c>
      <c r="C111" s="111" t="s">
        <v>400</v>
      </c>
      <c r="D111" s="111" t="s">
        <v>401</v>
      </c>
      <c r="E111" s="111" t="s">
        <v>402</v>
      </c>
      <c r="F111" s="111" t="s">
        <v>403</v>
      </c>
      <c r="G111" s="111" t="s">
        <v>404</v>
      </c>
      <c r="H111" s="111" t="s">
        <v>405</v>
      </c>
      <c r="I111" s="111" t="s">
        <v>406</v>
      </c>
      <c r="J111" s="111" t="s">
        <v>407</v>
      </c>
      <c r="K111" s="111" t="s">
        <v>408</v>
      </c>
      <c r="L111" s="111" t="s">
        <v>409</v>
      </c>
      <c r="M111" s="111" t="s">
        <v>410</v>
      </c>
      <c r="N111" s="111" t="s">
        <v>411</v>
      </c>
      <c r="O111" s="111" t="s">
        <v>412</v>
      </c>
      <c r="P111" s="111" t="s">
        <v>413</v>
      </c>
      <c r="Q111" s="111" t="s">
        <v>414</v>
      </c>
    </row>
    <row r="112" spans="1:17" outlineLevel="1" x14ac:dyDescent="0.25">
      <c r="A112" s="123" t="s">
        <v>415</v>
      </c>
      <c r="B112" s="240"/>
      <c r="C112" s="115">
        <v>0.6</v>
      </c>
      <c r="D112" s="115">
        <v>0.85</v>
      </c>
      <c r="E112" s="115">
        <v>1</v>
      </c>
      <c r="F112" s="115">
        <v>1</v>
      </c>
      <c r="G112" s="115">
        <v>1</v>
      </c>
      <c r="H112" s="115">
        <v>1</v>
      </c>
      <c r="I112" s="115">
        <v>1</v>
      </c>
      <c r="J112" s="115">
        <v>1</v>
      </c>
      <c r="K112" s="115">
        <v>1</v>
      </c>
      <c r="L112" s="115">
        <v>1</v>
      </c>
      <c r="M112" s="115">
        <v>1</v>
      </c>
      <c r="N112" s="115">
        <v>1</v>
      </c>
      <c r="O112" s="115">
        <v>1</v>
      </c>
      <c r="P112" s="115">
        <v>1</v>
      </c>
      <c r="Q112" s="115">
        <v>1</v>
      </c>
    </row>
    <row r="113" spans="1:17" outlineLevel="1" x14ac:dyDescent="0.25">
      <c r="A113" s="123" t="s">
        <v>532</v>
      </c>
      <c r="B113" s="241"/>
      <c r="C113" s="119">
        <f t="shared" ref="C113:Q113" si="54">$E$15*C112</f>
        <v>4500000</v>
      </c>
      <c r="D113" s="119">
        <f t="shared" si="54"/>
        <v>6375000</v>
      </c>
      <c r="E113" s="119">
        <f t="shared" si="54"/>
        <v>7500000</v>
      </c>
      <c r="F113" s="119">
        <f t="shared" si="54"/>
        <v>7500000</v>
      </c>
      <c r="G113" s="119">
        <f t="shared" si="54"/>
        <v>7500000</v>
      </c>
      <c r="H113" s="119">
        <f t="shared" si="54"/>
        <v>7500000</v>
      </c>
      <c r="I113" s="119">
        <f t="shared" si="54"/>
        <v>7500000</v>
      </c>
      <c r="J113" s="119">
        <f t="shared" si="54"/>
        <v>7500000</v>
      </c>
      <c r="K113" s="119">
        <f t="shared" si="54"/>
        <v>7500000</v>
      </c>
      <c r="L113" s="119">
        <f t="shared" si="54"/>
        <v>7500000</v>
      </c>
      <c r="M113" s="119">
        <f t="shared" si="54"/>
        <v>7500000</v>
      </c>
      <c r="N113" s="119">
        <f t="shared" si="54"/>
        <v>7500000</v>
      </c>
      <c r="O113" s="119">
        <f t="shared" si="54"/>
        <v>7500000</v>
      </c>
      <c r="P113" s="119">
        <f t="shared" si="54"/>
        <v>7500000</v>
      </c>
      <c r="Q113" s="119">
        <f t="shared" si="54"/>
        <v>7500000</v>
      </c>
    </row>
    <row r="114" spans="1:17" outlineLevel="1" x14ac:dyDescent="0.25">
      <c r="A114" s="123" t="s">
        <v>201</v>
      </c>
      <c r="B114" s="242"/>
      <c r="C114" s="122">
        <f t="shared" ref="C114:Q114" si="55">$E$17</f>
        <v>4.6749999999999995E-3</v>
      </c>
      <c r="D114" s="122">
        <f t="shared" si="55"/>
        <v>4.6749999999999995E-3</v>
      </c>
      <c r="E114" s="122">
        <f t="shared" si="55"/>
        <v>4.6749999999999995E-3</v>
      </c>
      <c r="F114" s="122">
        <f t="shared" si="55"/>
        <v>4.6749999999999995E-3</v>
      </c>
      <c r="G114" s="122">
        <f t="shared" si="55"/>
        <v>4.6749999999999995E-3</v>
      </c>
      <c r="H114" s="122">
        <f t="shared" si="55"/>
        <v>4.6749999999999995E-3</v>
      </c>
      <c r="I114" s="122">
        <f t="shared" si="55"/>
        <v>4.6749999999999995E-3</v>
      </c>
      <c r="J114" s="122">
        <f t="shared" si="55"/>
        <v>4.6749999999999995E-3</v>
      </c>
      <c r="K114" s="122">
        <f t="shared" si="55"/>
        <v>4.6749999999999995E-3</v>
      </c>
      <c r="L114" s="122">
        <f t="shared" si="55"/>
        <v>4.6749999999999995E-3</v>
      </c>
      <c r="M114" s="122">
        <f t="shared" si="55"/>
        <v>4.6749999999999995E-3</v>
      </c>
      <c r="N114" s="122">
        <f t="shared" si="55"/>
        <v>4.6749999999999995E-3</v>
      </c>
      <c r="O114" s="122">
        <f t="shared" si="55"/>
        <v>4.6749999999999995E-3</v>
      </c>
      <c r="P114" s="122">
        <f t="shared" si="55"/>
        <v>4.6749999999999995E-3</v>
      </c>
      <c r="Q114" s="122">
        <f t="shared" si="55"/>
        <v>4.6749999999999995E-3</v>
      </c>
    </row>
    <row r="115" spans="1:17" outlineLevel="1" x14ac:dyDescent="0.25">
      <c r="A115" s="123" t="s">
        <v>416</v>
      </c>
      <c r="B115" s="118"/>
      <c r="C115" s="124">
        <f t="shared" ref="C115:Q115" si="56">C113*C114</f>
        <v>21037.499999999996</v>
      </c>
      <c r="D115" s="124">
        <f t="shared" si="56"/>
        <v>29803.124999999996</v>
      </c>
      <c r="E115" s="124">
        <f t="shared" si="56"/>
        <v>35062.499999999993</v>
      </c>
      <c r="F115" s="124">
        <f t="shared" si="56"/>
        <v>35062.499999999993</v>
      </c>
      <c r="G115" s="124">
        <f t="shared" si="56"/>
        <v>35062.499999999993</v>
      </c>
      <c r="H115" s="124">
        <f t="shared" si="56"/>
        <v>35062.499999999993</v>
      </c>
      <c r="I115" s="124">
        <f t="shared" si="56"/>
        <v>35062.499999999993</v>
      </c>
      <c r="J115" s="124">
        <f t="shared" si="56"/>
        <v>35062.499999999993</v>
      </c>
      <c r="K115" s="124">
        <f t="shared" si="56"/>
        <v>35062.499999999993</v>
      </c>
      <c r="L115" s="124">
        <f t="shared" si="56"/>
        <v>35062.499999999993</v>
      </c>
      <c r="M115" s="124">
        <f t="shared" si="56"/>
        <v>35062.499999999993</v>
      </c>
      <c r="N115" s="124">
        <f t="shared" si="56"/>
        <v>35062.499999999993</v>
      </c>
      <c r="O115" s="124">
        <f t="shared" si="56"/>
        <v>35062.499999999993</v>
      </c>
      <c r="P115" s="124">
        <f t="shared" si="56"/>
        <v>35062.499999999993</v>
      </c>
      <c r="Q115" s="124">
        <f t="shared" si="56"/>
        <v>35062.499999999993</v>
      </c>
    </row>
    <row r="116" spans="1:17" outlineLevel="1" x14ac:dyDescent="0.25">
      <c r="A116" s="123" t="s">
        <v>205</v>
      </c>
      <c r="B116" s="243"/>
      <c r="C116" s="125">
        <f t="shared" ref="C116:Q116" si="57">$E$18</f>
        <v>0.80080000000000007</v>
      </c>
      <c r="D116" s="125">
        <f t="shared" si="57"/>
        <v>0.80080000000000007</v>
      </c>
      <c r="E116" s="125">
        <f t="shared" si="57"/>
        <v>0.80080000000000007</v>
      </c>
      <c r="F116" s="125">
        <f t="shared" si="57"/>
        <v>0.80080000000000007</v>
      </c>
      <c r="G116" s="125">
        <f t="shared" si="57"/>
        <v>0.80080000000000007</v>
      </c>
      <c r="H116" s="125">
        <f t="shared" si="57"/>
        <v>0.80080000000000007</v>
      </c>
      <c r="I116" s="125">
        <f t="shared" si="57"/>
        <v>0.80080000000000007</v>
      </c>
      <c r="J116" s="125">
        <f t="shared" si="57"/>
        <v>0.80080000000000007</v>
      </c>
      <c r="K116" s="125">
        <f t="shared" si="57"/>
        <v>0.80080000000000007</v>
      </c>
      <c r="L116" s="125">
        <f t="shared" si="57"/>
        <v>0.80080000000000007</v>
      </c>
      <c r="M116" s="125">
        <f t="shared" si="57"/>
        <v>0.80080000000000007</v>
      </c>
      <c r="N116" s="125">
        <f t="shared" si="57"/>
        <v>0.80080000000000007</v>
      </c>
      <c r="O116" s="125">
        <f t="shared" si="57"/>
        <v>0.80080000000000007</v>
      </c>
      <c r="P116" s="125">
        <f t="shared" si="57"/>
        <v>0.80080000000000007</v>
      </c>
      <c r="Q116" s="125">
        <f t="shared" si="57"/>
        <v>0.80080000000000007</v>
      </c>
    </row>
    <row r="117" spans="1:17" outlineLevel="1" x14ac:dyDescent="0.25">
      <c r="A117" s="123" t="s">
        <v>417</v>
      </c>
      <c r="B117" s="118"/>
      <c r="C117" s="124">
        <f t="shared" ref="C117:Q117" si="58">C115*C116</f>
        <v>16846.829999999998</v>
      </c>
      <c r="D117" s="124">
        <f t="shared" si="58"/>
        <v>23866.342499999999</v>
      </c>
      <c r="E117" s="124">
        <f t="shared" si="58"/>
        <v>28078.049999999996</v>
      </c>
      <c r="F117" s="124">
        <f t="shared" si="58"/>
        <v>28078.049999999996</v>
      </c>
      <c r="G117" s="124">
        <f t="shared" si="58"/>
        <v>28078.049999999996</v>
      </c>
      <c r="H117" s="124">
        <f t="shared" si="58"/>
        <v>28078.049999999996</v>
      </c>
      <c r="I117" s="124">
        <f t="shared" si="58"/>
        <v>28078.049999999996</v>
      </c>
      <c r="J117" s="124">
        <f t="shared" si="58"/>
        <v>28078.049999999996</v>
      </c>
      <c r="K117" s="124">
        <f t="shared" si="58"/>
        <v>28078.049999999996</v>
      </c>
      <c r="L117" s="124">
        <f t="shared" si="58"/>
        <v>28078.049999999996</v>
      </c>
      <c r="M117" s="124">
        <f t="shared" si="58"/>
        <v>28078.049999999996</v>
      </c>
      <c r="N117" s="124">
        <f t="shared" si="58"/>
        <v>28078.049999999996</v>
      </c>
      <c r="O117" s="124">
        <f t="shared" si="58"/>
        <v>28078.049999999996</v>
      </c>
      <c r="P117" s="124">
        <f t="shared" si="58"/>
        <v>28078.049999999996</v>
      </c>
      <c r="Q117" s="124">
        <f t="shared" si="58"/>
        <v>28078.049999999996</v>
      </c>
    </row>
    <row r="118" spans="1:17" outlineLevel="1" x14ac:dyDescent="0.25">
      <c r="A118" s="123" t="s">
        <v>56</v>
      </c>
      <c r="B118" s="243"/>
      <c r="C118" s="125">
        <f t="shared" ref="C118:Q118" si="59">Payability</f>
        <v>0.96499999999999997</v>
      </c>
      <c r="D118" s="125">
        <f t="shared" si="59"/>
        <v>0.96499999999999997</v>
      </c>
      <c r="E118" s="125">
        <f t="shared" si="59"/>
        <v>0.96499999999999997</v>
      </c>
      <c r="F118" s="125">
        <f t="shared" si="59"/>
        <v>0.96499999999999997</v>
      </c>
      <c r="G118" s="125">
        <f t="shared" si="59"/>
        <v>0.96499999999999997</v>
      </c>
      <c r="H118" s="125">
        <f t="shared" si="59"/>
        <v>0.96499999999999997</v>
      </c>
      <c r="I118" s="125">
        <f t="shared" si="59"/>
        <v>0.96499999999999997</v>
      </c>
      <c r="J118" s="125">
        <f t="shared" si="59"/>
        <v>0.96499999999999997</v>
      </c>
      <c r="K118" s="125">
        <f t="shared" si="59"/>
        <v>0.96499999999999997</v>
      </c>
      <c r="L118" s="125">
        <f t="shared" si="59"/>
        <v>0.96499999999999997</v>
      </c>
      <c r="M118" s="125">
        <f t="shared" si="59"/>
        <v>0.96499999999999997</v>
      </c>
      <c r="N118" s="125">
        <f t="shared" si="59"/>
        <v>0.96499999999999997</v>
      </c>
      <c r="O118" s="125">
        <f t="shared" si="59"/>
        <v>0.96499999999999997</v>
      </c>
      <c r="P118" s="125">
        <f t="shared" si="59"/>
        <v>0.96499999999999997</v>
      </c>
      <c r="Q118" s="125">
        <f t="shared" si="59"/>
        <v>0.96499999999999997</v>
      </c>
    </row>
    <row r="119" spans="1:17" outlineLevel="1" x14ac:dyDescent="0.25">
      <c r="A119" s="123" t="s">
        <v>267</v>
      </c>
      <c r="B119" s="118"/>
      <c r="C119" s="124">
        <f t="shared" ref="C119:Q119" si="60">C117*C118</f>
        <v>16257.190949999998</v>
      </c>
      <c r="D119" s="124">
        <f t="shared" si="60"/>
        <v>23031.020512499999</v>
      </c>
      <c r="E119" s="124">
        <f t="shared" si="60"/>
        <v>27095.318249999997</v>
      </c>
      <c r="F119" s="124">
        <f t="shared" si="60"/>
        <v>27095.318249999997</v>
      </c>
      <c r="G119" s="124">
        <f t="shared" si="60"/>
        <v>27095.318249999997</v>
      </c>
      <c r="H119" s="124">
        <f t="shared" si="60"/>
        <v>27095.318249999997</v>
      </c>
      <c r="I119" s="124">
        <f t="shared" si="60"/>
        <v>27095.318249999997</v>
      </c>
      <c r="J119" s="124">
        <f t="shared" si="60"/>
        <v>27095.318249999997</v>
      </c>
      <c r="K119" s="124">
        <f t="shared" si="60"/>
        <v>27095.318249999997</v>
      </c>
      <c r="L119" s="124">
        <f t="shared" si="60"/>
        <v>27095.318249999997</v>
      </c>
      <c r="M119" s="124">
        <f t="shared" si="60"/>
        <v>27095.318249999997</v>
      </c>
      <c r="N119" s="124">
        <f t="shared" si="60"/>
        <v>27095.318249999997</v>
      </c>
      <c r="O119" s="124">
        <f t="shared" si="60"/>
        <v>27095.318249999997</v>
      </c>
      <c r="P119" s="124">
        <f t="shared" si="60"/>
        <v>27095.318249999997</v>
      </c>
      <c r="Q119" s="124">
        <f t="shared" si="60"/>
        <v>27095.318249999997</v>
      </c>
    </row>
    <row r="120" spans="1:17" outlineLevel="1" x14ac:dyDescent="0.25">
      <c r="A120" s="123" t="s">
        <v>269</v>
      </c>
      <c r="B120" s="118"/>
      <c r="C120" s="124">
        <f t="shared" ref="C120:Q120" si="61">C119*Factor_Conversion_TnLb</f>
        <v>35840928.312188998</v>
      </c>
      <c r="D120" s="124">
        <f t="shared" si="61"/>
        <v>50774648.442267746</v>
      </c>
      <c r="E120" s="124">
        <f t="shared" si="61"/>
        <v>59734880.520314991</v>
      </c>
      <c r="F120" s="124">
        <f t="shared" si="61"/>
        <v>59734880.520314991</v>
      </c>
      <c r="G120" s="124">
        <f t="shared" si="61"/>
        <v>59734880.520314991</v>
      </c>
      <c r="H120" s="124">
        <f t="shared" si="61"/>
        <v>59734880.520314991</v>
      </c>
      <c r="I120" s="124">
        <f t="shared" si="61"/>
        <v>59734880.520314991</v>
      </c>
      <c r="J120" s="124">
        <f t="shared" si="61"/>
        <v>59734880.520314991</v>
      </c>
      <c r="K120" s="124">
        <f t="shared" si="61"/>
        <v>59734880.520314991</v>
      </c>
      <c r="L120" s="124">
        <f t="shared" si="61"/>
        <v>59734880.520314991</v>
      </c>
      <c r="M120" s="124">
        <f t="shared" si="61"/>
        <v>59734880.520314991</v>
      </c>
      <c r="N120" s="124">
        <f t="shared" si="61"/>
        <v>59734880.520314991</v>
      </c>
      <c r="O120" s="124">
        <f t="shared" si="61"/>
        <v>59734880.520314991</v>
      </c>
      <c r="P120" s="124">
        <f t="shared" si="61"/>
        <v>59734880.520314991</v>
      </c>
      <c r="Q120" s="124">
        <f t="shared" si="61"/>
        <v>59734880.520314991</v>
      </c>
    </row>
    <row r="121" spans="1:17" outlineLevel="1" x14ac:dyDescent="0.25">
      <c r="A121" s="123" t="s">
        <v>227</v>
      </c>
      <c r="B121" s="244"/>
      <c r="C121" s="127">
        <f t="shared" ref="C121:Q121" si="62">$E$16</f>
        <v>4.2</v>
      </c>
      <c r="D121" s="127">
        <f t="shared" si="62"/>
        <v>4.2</v>
      </c>
      <c r="E121" s="127">
        <f t="shared" si="62"/>
        <v>4.2</v>
      </c>
      <c r="F121" s="127">
        <f t="shared" si="62"/>
        <v>4.2</v>
      </c>
      <c r="G121" s="127">
        <f t="shared" si="62"/>
        <v>4.2</v>
      </c>
      <c r="H121" s="127">
        <f t="shared" si="62"/>
        <v>4.2</v>
      </c>
      <c r="I121" s="127">
        <f t="shared" si="62"/>
        <v>4.2</v>
      </c>
      <c r="J121" s="127">
        <f t="shared" si="62"/>
        <v>4.2</v>
      </c>
      <c r="K121" s="127">
        <f t="shared" si="62"/>
        <v>4.2</v>
      </c>
      <c r="L121" s="127">
        <f t="shared" si="62"/>
        <v>4.2</v>
      </c>
      <c r="M121" s="127">
        <f t="shared" si="62"/>
        <v>4.2</v>
      </c>
      <c r="N121" s="127">
        <f t="shared" si="62"/>
        <v>4.2</v>
      </c>
      <c r="O121" s="127">
        <f t="shared" si="62"/>
        <v>4.2</v>
      </c>
      <c r="P121" s="127">
        <f t="shared" si="62"/>
        <v>4.2</v>
      </c>
      <c r="Q121" s="127">
        <f t="shared" si="62"/>
        <v>4.2</v>
      </c>
    </row>
    <row r="122" spans="1:17" outlineLevel="1" x14ac:dyDescent="0.25">
      <c r="A122" s="245" t="s">
        <v>228</v>
      </c>
      <c r="B122" s="246"/>
      <c r="C122" s="247">
        <f t="shared" ref="C122:Q122" si="63">C120*C121</f>
        <v>150531898.91119379</v>
      </c>
      <c r="D122" s="247">
        <f t="shared" si="63"/>
        <v>213253523.45752454</v>
      </c>
      <c r="E122" s="247">
        <f t="shared" si="63"/>
        <v>250886498.18532297</v>
      </c>
      <c r="F122" s="247">
        <f t="shared" si="63"/>
        <v>250886498.18532297</v>
      </c>
      <c r="G122" s="247">
        <f t="shared" si="63"/>
        <v>250886498.18532297</v>
      </c>
      <c r="H122" s="247">
        <f t="shared" si="63"/>
        <v>250886498.18532297</v>
      </c>
      <c r="I122" s="247">
        <f t="shared" si="63"/>
        <v>250886498.18532297</v>
      </c>
      <c r="J122" s="247">
        <f t="shared" si="63"/>
        <v>250886498.18532297</v>
      </c>
      <c r="K122" s="247">
        <f t="shared" si="63"/>
        <v>250886498.18532297</v>
      </c>
      <c r="L122" s="247">
        <f t="shared" si="63"/>
        <v>250886498.18532297</v>
      </c>
      <c r="M122" s="247">
        <f t="shared" si="63"/>
        <v>250886498.18532297</v>
      </c>
      <c r="N122" s="247">
        <f t="shared" si="63"/>
        <v>250886498.18532297</v>
      </c>
      <c r="O122" s="247">
        <f t="shared" si="63"/>
        <v>250886498.18532297</v>
      </c>
      <c r="P122" s="247">
        <f t="shared" si="63"/>
        <v>250886498.18532297</v>
      </c>
      <c r="Q122" s="247">
        <f t="shared" si="63"/>
        <v>250886498.18532297</v>
      </c>
    </row>
    <row r="123" spans="1:17" outlineLevel="1" x14ac:dyDescent="0.25">
      <c r="A123" s="129" t="s">
        <v>418</v>
      </c>
      <c r="B123" s="248"/>
      <c r="C123" s="131">
        <f t="shared" ref="C123:Q123" si="64">C117/Ley_Concentrado</f>
        <v>56156.1</v>
      </c>
      <c r="D123" s="131">
        <f t="shared" si="64"/>
        <v>79554.475000000006</v>
      </c>
      <c r="E123" s="131">
        <f t="shared" si="64"/>
        <v>93593.499999999985</v>
      </c>
      <c r="F123" s="131">
        <f t="shared" si="64"/>
        <v>93593.499999999985</v>
      </c>
      <c r="G123" s="131">
        <f t="shared" si="64"/>
        <v>93593.499999999985</v>
      </c>
      <c r="H123" s="131">
        <f t="shared" si="64"/>
        <v>93593.499999999985</v>
      </c>
      <c r="I123" s="131">
        <f t="shared" si="64"/>
        <v>93593.499999999985</v>
      </c>
      <c r="J123" s="131">
        <f t="shared" si="64"/>
        <v>93593.499999999985</v>
      </c>
      <c r="K123" s="131">
        <f t="shared" si="64"/>
        <v>93593.499999999985</v>
      </c>
      <c r="L123" s="131">
        <f t="shared" si="64"/>
        <v>93593.499999999985</v>
      </c>
      <c r="M123" s="131">
        <f t="shared" si="64"/>
        <v>93593.499999999985</v>
      </c>
      <c r="N123" s="131">
        <f t="shared" si="64"/>
        <v>93593.499999999985</v>
      </c>
      <c r="O123" s="131">
        <f t="shared" si="64"/>
        <v>93593.499999999985</v>
      </c>
      <c r="P123" s="131">
        <f t="shared" si="64"/>
        <v>93593.499999999985</v>
      </c>
      <c r="Q123" s="131">
        <f t="shared" si="64"/>
        <v>93593.499999999985</v>
      </c>
    </row>
    <row r="124" spans="1:17" outlineLevel="1" x14ac:dyDescent="0.25">
      <c r="A124" s="129" t="s">
        <v>419</v>
      </c>
      <c r="B124" s="142"/>
      <c r="C124" s="132">
        <f t="shared" ref="C124:Q124" si="65">-C123*TC_Unitario</f>
        <v>-4492488</v>
      </c>
      <c r="D124" s="132">
        <f t="shared" si="65"/>
        <v>-6364358</v>
      </c>
      <c r="E124" s="132">
        <f t="shared" si="65"/>
        <v>-7487479.9999999991</v>
      </c>
      <c r="F124" s="132">
        <f t="shared" si="65"/>
        <v>-7487479.9999999991</v>
      </c>
      <c r="G124" s="132">
        <f t="shared" si="65"/>
        <v>-7487479.9999999991</v>
      </c>
      <c r="H124" s="132">
        <f t="shared" si="65"/>
        <v>-7487479.9999999991</v>
      </c>
      <c r="I124" s="132">
        <f t="shared" si="65"/>
        <v>-7487479.9999999991</v>
      </c>
      <c r="J124" s="132">
        <f t="shared" si="65"/>
        <v>-7487479.9999999991</v>
      </c>
      <c r="K124" s="132">
        <f t="shared" si="65"/>
        <v>-7487479.9999999991</v>
      </c>
      <c r="L124" s="132">
        <f t="shared" si="65"/>
        <v>-7487479.9999999991</v>
      </c>
      <c r="M124" s="132">
        <f t="shared" si="65"/>
        <v>-7487479.9999999991</v>
      </c>
      <c r="N124" s="132">
        <f t="shared" si="65"/>
        <v>-7487479.9999999991</v>
      </c>
      <c r="O124" s="132">
        <f t="shared" si="65"/>
        <v>-7487479.9999999991</v>
      </c>
      <c r="P124" s="132">
        <f t="shared" si="65"/>
        <v>-7487479.9999999991</v>
      </c>
      <c r="Q124" s="132">
        <f t="shared" si="65"/>
        <v>-7487479.9999999991</v>
      </c>
    </row>
    <row r="125" spans="1:17" outlineLevel="1" x14ac:dyDescent="0.25">
      <c r="A125" s="129" t="s">
        <v>420</v>
      </c>
      <c r="B125" s="142"/>
      <c r="C125" s="132">
        <f t="shared" ref="C125:Q125" si="66">-C120*RC_Unitario</f>
        <v>-2867274.2649751198</v>
      </c>
      <c r="D125" s="132">
        <f t="shared" si="66"/>
        <v>-4061971.8753814199</v>
      </c>
      <c r="E125" s="132">
        <f t="shared" si="66"/>
        <v>-4778790.4416251993</v>
      </c>
      <c r="F125" s="132">
        <f t="shared" si="66"/>
        <v>-4778790.4416251993</v>
      </c>
      <c r="G125" s="132">
        <f t="shared" si="66"/>
        <v>-4778790.4416251993</v>
      </c>
      <c r="H125" s="132">
        <f t="shared" si="66"/>
        <v>-4778790.4416251993</v>
      </c>
      <c r="I125" s="132">
        <f t="shared" si="66"/>
        <v>-4778790.4416251993</v>
      </c>
      <c r="J125" s="132">
        <f t="shared" si="66"/>
        <v>-4778790.4416251993</v>
      </c>
      <c r="K125" s="132">
        <f t="shared" si="66"/>
        <v>-4778790.4416251993</v>
      </c>
      <c r="L125" s="132">
        <f t="shared" si="66"/>
        <v>-4778790.4416251993</v>
      </c>
      <c r="M125" s="132">
        <f t="shared" si="66"/>
        <v>-4778790.4416251993</v>
      </c>
      <c r="N125" s="132">
        <f t="shared" si="66"/>
        <v>-4778790.4416251993</v>
      </c>
      <c r="O125" s="132">
        <f t="shared" si="66"/>
        <v>-4778790.4416251993</v>
      </c>
      <c r="P125" s="132">
        <f t="shared" si="66"/>
        <v>-4778790.4416251993</v>
      </c>
      <c r="Q125" s="132">
        <f t="shared" si="66"/>
        <v>-4778790.4416251993</v>
      </c>
    </row>
    <row r="126" spans="1:17" outlineLevel="1" x14ac:dyDescent="0.25">
      <c r="A126" s="133" t="s">
        <v>421</v>
      </c>
      <c r="B126" s="249"/>
      <c r="C126" s="135">
        <f t="shared" ref="C126:Q126" si="67">C122+C124+C125</f>
        <v>143172136.64621866</v>
      </c>
      <c r="D126" s="135">
        <f t="shared" si="67"/>
        <v>202827193.58214313</v>
      </c>
      <c r="E126" s="135">
        <f t="shared" si="67"/>
        <v>238620227.74369776</v>
      </c>
      <c r="F126" s="135">
        <f t="shared" si="67"/>
        <v>238620227.74369776</v>
      </c>
      <c r="G126" s="135">
        <f t="shared" si="67"/>
        <v>238620227.74369776</v>
      </c>
      <c r="H126" s="135">
        <f t="shared" si="67"/>
        <v>238620227.74369776</v>
      </c>
      <c r="I126" s="135">
        <f t="shared" si="67"/>
        <v>238620227.74369776</v>
      </c>
      <c r="J126" s="135">
        <f t="shared" si="67"/>
        <v>238620227.74369776</v>
      </c>
      <c r="K126" s="135">
        <f t="shared" si="67"/>
        <v>238620227.74369776</v>
      </c>
      <c r="L126" s="135">
        <f t="shared" si="67"/>
        <v>238620227.74369776</v>
      </c>
      <c r="M126" s="135">
        <f t="shared" si="67"/>
        <v>238620227.74369776</v>
      </c>
      <c r="N126" s="135">
        <f t="shared" si="67"/>
        <v>238620227.74369776</v>
      </c>
      <c r="O126" s="135">
        <f t="shared" si="67"/>
        <v>238620227.74369776</v>
      </c>
      <c r="P126" s="135">
        <f t="shared" si="67"/>
        <v>238620227.74369776</v>
      </c>
      <c r="Q126" s="135">
        <f t="shared" si="67"/>
        <v>238620227.74369776</v>
      </c>
    </row>
    <row r="127" spans="1:17" outlineLevel="1" x14ac:dyDescent="0.25">
      <c r="A127" s="129" t="s">
        <v>422</v>
      </c>
      <c r="B127" s="142"/>
      <c r="C127" s="132">
        <f t="shared" ref="C127:Q127" si="68">-C113*Costo_Mina_Unitario</f>
        <v>-14400000</v>
      </c>
      <c r="D127" s="132">
        <f t="shared" si="68"/>
        <v>-20400000</v>
      </c>
      <c r="E127" s="132">
        <f t="shared" si="68"/>
        <v>-24000000</v>
      </c>
      <c r="F127" s="132">
        <f t="shared" si="68"/>
        <v>-24000000</v>
      </c>
      <c r="G127" s="132">
        <f t="shared" si="68"/>
        <v>-24000000</v>
      </c>
      <c r="H127" s="132">
        <f t="shared" si="68"/>
        <v>-24000000</v>
      </c>
      <c r="I127" s="132">
        <f t="shared" si="68"/>
        <v>-24000000</v>
      </c>
      <c r="J127" s="132">
        <f t="shared" si="68"/>
        <v>-24000000</v>
      </c>
      <c r="K127" s="132">
        <f t="shared" si="68"/>
        <v>-24000000</v>
      </c>
      <c r="L127" s="132">
        <f t="shared" si="68"/>
        <v>-24000000</v>
      </c>
      <c r="M127" s="132">
        <f t="shared" si="68"/>
        <v>-24000000</v>
      </c>
      <c r="N127" s="132">
        <f t="shared" si="68"/>
        <v>-24000000</v>
      </c>
      <c r="O127" s="132">
        <f t="shared" si="68"/>
        <v>-24000000</v>
      </c>
      <c r="P127" s="132">
        <f t="shared" si="68"/>
        <v>-24000000</v>
      </c>
      <c r="Q127" s="132">
        <f t="shared" si="68"/>
        <v>-24000000</v>
      </c>
    </row>
    <row r="128" spans="1:17" outlineLevel="1" x14ac:dyDescent="0.25">
      <c r="A128" s="129" t="s">
        <v>423</v>
      </c>
      <c r="B128" s="142"/>
      <c r="C128" s="132">
        <f t="shared" ref="C128:Q128" si="69">-C113*Costo_Planta_Unitario</f>
        <v>-21150000</v>
      </c>
      <c r="D128" s="132">
        <f t="shared" si="69"/>
        <v>-29962500</v>
      </c>
      <c r="E128" s="132">
        <f t="shared" si="69"/>
        <v>-35250000</v>
      </c>
      <c r="F128" s="132">
        <f t="shared" si="69"/>
        <v>-35250000</v>
      </c>
      <c r="G128" s="132">
        <f t="shared" si="69"/>
        <v>-35250000</v>
      </c>
      <c r="H128" s="132">
        <f t="shared" si="69"/>
        <v>-35250000</v>
      </c>
      <c r="I128" s="132">
        <f t="shared" si="69"/>
        <v>-35250000</v>
      </c>
      <c r="J128" s="132">
        <f t="shared" si="69"/>
        <v>-35250000</v>
      </c>
      <c r="K128" s="132">
        <f t="shared" si="69"/>
        <v>-35250000</v>
      </c>
      <c r="L128" s="132">
        <f t="shared" si="69"/>
        <v>-35250000</v>
      </c>
      <c r="M128" s="132">
        <f t="shared" si="69"/>
        <v>-35250000</v>
      </c>
      <c r="N128" s="132">
        <f t="shared" si="69"/>
        <v>-35250000</v>
      </c>
      <c r="O128" s="132">
        <f t="shared" si="69"/>
        <v>-35250000</v>
      </c>
      <c r="P128" s="132">
        <f t="shared" si="69"/>
        <v>-35250000</v>
      </c>
      <c r="Q128" s="132">
        <f t="shared" si="69"/>
        <v>-35250000</v>
      </c>
    </row>
    <row r="129" spans="1:17" outlineLevel="1" x14ac:dyDescent="0.25">
      <c r="A129" s="129" t="s">
        <v>259</v>
      </c>
      <c r="B129" s="137"/>
      <c r="C129" s="136">
        <f t="shared" ref="C129:Q129" si="70">Mano_Obra_Fija</f>
        <v>-11000000</v>
      </c>
      <c r="D129" s="136">
        <f t="shared" si="70"/>
        <v>-11000000</v>
      </c>
      <c r="E129" s="136">
        <f t="shared" si="70"/>
        <v>-11000000</v>
      </c>
      <c r="F129" s="136">
        <f t="shared" si="70"/>
        <v>-11000000</v>
      </c>
      <c r="G129" s="136">
        <f t="shared" si="70"/>
        <v>-11000000</v>
      </c>
      <c r="H129" s="136">
        <f t="shared" si="70"/>
        <v>-11000000</v>
      </c>
      <c r="I129" s="136">
        <f t="shared" si="70"/>
        <v>-11000000</v>
      </c>
      <c r="J129" s="136">
        <f t="shared" si="70"/>
        <v>-11000000</v>
      </c>
      <c r="K129" s="136">
        <f t="shared" si="70"/>
        <v>-11000000</v>
      </c>
      <c r="L129" s="136">
        <f t="shared" si="70"/>
        <v>-11000000</v>
      </c>
      <c r="M129" s="136">
        <f t="shared" si="70"/>
        <v>-11000000</v>
      </c>
      <c r="N129" s="136">
        <f t="shared" si="70"/>
        <v>-11000000</v>
      </c>
      <c r="O129" s="136">
        <f t="shared" si="70"/>
        <v>-11000000</v>
      </c>
      <c r="P129" s="136">
        <f t="shared" si="70"/>
        <v>-11000000</v>
      </c>
      <c r="Q129" s="136">
        <f t="shared" si="70"/>
        <v>-11000000</v>
      </c>
    </row>
    <row r="130" spans="1:17" outlineLevel="1" x14ac:dyDescent="0.25">
      <c r="A130" s="129" t="s">
        <v>424</v>
      </c>
      <c r="B130" s="137"/>
      <c r="C130" s="136">
        <f t="shared" ref="C130:Q130" si="71">GA_Fijo</f>
        <v>-45000000</v>
      </c>
      <c r="D130" s="136">
        <f t="shared" si="71"/>
        <v>-45000000</v>
      </c>
      <c r="E130" s="136">
        <f t="shared" si="71"/>
        <v>-45000000</v>
      </c>
      <c r="F130" s="136">
        <f t="shared" si="71"/>
        <v>-45000000</v>
      </c>
      <c r="G130" s="136">
        <f t="shared" si="71"/>
        <v>-45000000</v>
      </c>
      <c r="H130" s="136">
        <f t="shared" si="71"/>
        <v>-45000000</v>
      </c>
      <c r="I130" s="136">
        <f t="shared" si="71"/>
        <v>-45000000</v>
      </c>
      <c r="J130" s="136">
        <f t="shared" si="71"/>
        <v>-45000000</v>
      </c>
      <c r="K130" s="136">
        <f t="shared" si="71"/>
        <v>-45000000</v>
      </c>
      <c r="L130" s="136">
        <f t="shared" si="71"/>
        <v>-45000000</v>
      </c>
      <c r="M130" s="136">
        <f t="shared" si="71"/>
        <v>-45000000</v>
      </c>
      <c r="N130" s="136">
        <f t="shared" si="71"/>
        <v>-45000000</v>
      </c>
      <c r="O130" s="136">
        <f t="shared" si="71"/>
        <v>-45000000</v>
      </c>
      <c r="P130" s="136">
        <f t="shared" si="71"/>
        <v>-45000000</v>
      </c>
      <c r="Q130" s="136">
        <f t="shared" si="71"/>
        <v>-45000000</v>
      </c>
    </row>
    <row r="131" spans="1:17" outlineLevel="1" x14ac:dyDescent="0.25">
      <c r="A131" s="133" t="s">
        <v>533</v>
      </c>
      <c r="B131" s="249"/>
      <c r="C131" s="135">
        <f t="shared" ref="C131:Q131" si="72">(C127+C128+C129+C130)*(1+$E$10)</f>
        <v>-100705000.00000001</v>
      </c>
      <c r="D131" s="135">
        <f t="shared" si="72"/>
        <v>-116998750.00000001</v>
      </c>
      <c r="E131" s="135">
        <f t="shared" si="72"/>
        <v>-126775000.00000001</v>
      </c>
      <c r="F131" s="135">
        <f t="shared" si="72"/>
        <v>-126775000.00000001</v>
      </c>
      <c r="G131" s="135">
        <f t="shared" si="72"/>
        <v>-126775000.00000001</v>
      </c>
      <c r="H131" s="135">
        <f t="shared" si="72"/>
        <v>-126775000.00000001</v>
      </c>
      <c r="I131" s="135">
        <f t="shared" si="72"/>
        <v>-126775000.00000001</v>
      </c>
      <c r="J131" s="135">
        <f t="shared" si="72"/>
        <v>-126775000.00000001</v>
      </c>
      <c r="K131" s="135">
        <f t="shared" si="72"/>
        <v>-126775000.00000001</v>
      </c>
      <c r="L131" s="135">
        <f t="shared" si="72"/>
        <v>-126775000.00000001</v>
      </c>
      <c r="M131" s="135">
        <f t="shared" si="72"/>
        <v>-126775000.00000001</v>
      </c>
      <c r="N131" s="135">
        <f t="shared" si="72"/>
        <v>-126775000.00000001</v>
      </c>
      <c r="O131" s="135">
        <f t="shared" si="72"/>
        <v>-126775000.00000001</v>
      </c>
      <c r="P131" s="135">
        <f t="shared" si="72"/>
        <v>-126775000.00000001</v>
      </c>
      <c r="Q131" s="135">
        <f t="shared" si="72"/>
        <v>-126775000.00000001</v>
      </c>
    </row>
    <row r="132" spans="1:17" outlineLevel="1" x14ac:dyDescent="0.25">
      <c r="A132" s="133" t="s">
        <v>425</v>
      </c>
      <c r="B132" s="249"/>
      <c r="C132" s="135">
        <f t="shared" ref="C132:Q132" si="73">C126+C131</f>
        <v>42467136.646218643</v>
      </c>
      <c r="D132" s="135">
        <f t="shared" si="73"/>
        <v>85828443.582143113</v>
      </c>
      <c r="E132" s="135">
        <f t="shared" si="73"/>
        <v>111845227.74369775</v>
      </c>
      <c r="F132" s="135">
        <f t="shared" si="73"/>
        <v>111845227.74369775</v>
      </c>
      <c r="G132" s="135">
        <f t="shared" si="73"/>
        <v>111845227.74369775</v>
      </c>
      <c r="H132" s="135">
        <f t="shared" si="73"/>
        <v>111845227.74369775</v>
      </c>
      <c r="I132" s="135">
        <f t="shared" si="73"/>
        <v>111845227.74369775</v>
      </c>
      <c r="J132" s="135">
        <f t="shared" si="73"/>
        <v>111845227.74369775</v>
      </c>
      <c r="K132" s="135">
        <f t="shared" si="73"/>
        <v>111845227.74369775</v>
      </c>
      <c r="L132" s="135">
        <f t="shared" si="73"/>
        <v>111845227.74369775</v>
      </c>
      <c r="M132" s="135">
        <f t="shared" si="73"/>
        <v>111845227.74369775</v>
      </c>
      <c r="N132" s="135">
        <f t="shared" si="73"/>
        <v>111845227.74369775</v>
      </c>
      <c r="O132" s="135">
        <f t="shared" si="73"/>
        <v>111845227.74369775</v>
      </c>
      <c r="P132" s="135">
        <f t="shared" si="73"/>
        <v>111845227.74369775</v>
      </c>
      <c r="Q132" s="135">
        <f t="shared" si="73"/>
        <v>111845227.74369775</v>
      </c>
    </row>
    <row r="133" spans="1:17" outlineLevel="1" x14ac:dyDescent="0.25">
      <c r="A133" s="129" t="s">
        <v>426</v>
      </c>
      <c r="B133" s="142">
        <f>$E$19</f>
        <v>-813120000.00000012</v>
      </c>
      <c r="C133" s="132">
        <f>0</f>
        <v>0</v>
      </c>
      <c r="D133" s="132">
        <f>0</f>
        <v>0</v>
      </c>
      <c r="E133" s="132">
        <f>0</f>
        <v>0</v>
      </c>
      <c r="F133" s="132">
        <f>0</f>
        <v>0</v>
      </c>
      <c r="G133" s="132">
        <f>0</f>
        <v>0</v>
      </c>
      <c r="H133" s="132">
        <f>0</f>
        <v>0</v>
      </c>
      <c r="I133" s="132">
        <f>0</f>
        <v>0</v>
      </c>
      <c r="J133" s="132">
        <f>0</f>
        <v>0</v>
      </c>
      <c r="K133" s="132">
        <f>0</f>
        <v>0</v>
      </c>
      <c r="L133" s="132">
        <f>0</f>
        <v>0</v>
      </c>
      <c r="M133" s="132">
        <f>0</f>
        <v>0</v>
      </c>
      <c r="N133" s="132">
        <f>0</f>
        <v>0</v>
      </c>
      <c r="O133" s="132">
        <f>0</f>
        <v>0</v>
      </c>
      <c r="P133" s="132">
        <f>0</f>
        <v>0</v>
      </c>
      <c r="Q133" s="132">
        <f>0</f>
        <v>0</v>
      </c>
    </row>
    <row r="134" spans="1:17" outlineLevel="1" x14ac:dyDescent="0.25">
      <c r="A134" s="123" t="s">
        <v>215</v>
      </c>
      <c r="B134" s="126"/>
      <c r="C134" s="128">
        <f t="shared" ref="C134:Q134" si="74">$B$133*(C113/Reservas_Totales)</f>
        <v>-24393600.000000004</v>
      </c>
      <c r="D134" s="128">
        <f t="shared" si="74"/>
        <v>-34557600.000000007</v>
      </c>
      <c r="E134" s="128">
        <f t="shared" si="74"/>
        <v>-40656000.000000007</v>
      </c>
      <c r="F134" s="128">
        <f t="shared" si="74"/>
        <v>-40656000.000000007</v>
      </c>
      <c r="G134" s="128">
        <f t="shared" si="74"/>
        <v>-40656000.000000007</v>
      </c>
      <c r="H134" s="128">
        <f t="shared" si="74"/>
        <v>-40656000.000000007</v>
      </c>
      <c r="I134" s="128">
        <f t="shared" si="74"/>
        <v>-40656000.000000007</v>
      </c>
      <c r="J134" s="128">
        <f t="shared" si="74"/>
        <v>-40656000.000000007</v>
      </c>
      <c r="K134" s="128">
        <f t="shared" si="74"/>
        <v>-40656000.000000007</v>
      </c>
      <c r="L134" s="128">
        <f t="shared" si="74"/>
        <v>-40656000.000000007</v>
      </c>
      <c r="M134" s="128">
        <f t="shared" si="74"/>
        <v>-40656000.000000007</v>
      </c>
      <c r="N134" s="128">
        <f t="shared" si="74"/>
        <v>-40656000.000000007</v>
      </c>
      <c r="O134" s="128">
        <f t="shared" si="74"/>
        <v>-40656000.000000007</v>
      </c>
      <c r="P134" s="128">
        <f t="shared" si="74"/>
        <v>-40656000.000000007</v>
      </c>
      <c r="Q134" s="128">
        <f t="shared" si="74"/>
        <v>-40656000.000000007</v>
      </c>
    </row>
    <row r="135" spans="1:17" outlineLevel="1" x14ac:dyDescent="0.25">
      <c r="A135" s="133" t="s">
        <v>427</v>
      </c>
      <c r="B135" s="249"/>
      <c r="C135" s="135">
        <f t="shared" ref="C135:Q135" si="75">C132+C134</f>
        <v>18073536.646218639</v>
      </c>
      <c r="D135" s="135">
        <f t="shared" si="75"/>
        <v>51270843.582143106</v>
      </c>
      <c r="E135" s="135">
        <f t="shared" si="75"/>
        <v>71189227.743697733</v>
      </c>
      <c r="F135" s="135">
        <f t="shared" si="75"/>
        <v>71189227.743697733</v>
      </c>
      <c r="G135" s="135">
        <f t="shared" si="75"/>
        <v>71189227.743697733</v>
      </c>
      <c r="H135" s="135">
        <f t="shared" si="75"/>
        <v>71189227.743697733</v>
      </c>
      <c r="I135" s="135">
        <f t="shared" si="75"/>
        <v>71189227.743697733</v>
      </c>
      <c r="J135" s="135">
        <f t="shared" si="75"/>
        <v>71189227.743697733</v>
      </c>
      <c r="K135" s="135">
        <f t="shared" si="75"/>
        <v>71189227.743697733</v>
      </c>
      <c r="L135" s="135">
        <f t="shared" si="75"/>
        <v>71189227.743697733</v>
      </c>
      <c r="M135" s="135">
        <f t="shared" si="75"/>
        <v>71189227.743697733</v>
      </c>
      <c r="N135" s="135">
        <f t="shared" si="75"/>
        <v>71189227.743697733</v>
      </c>
      <c r="O135" s="135">
        <f t="shared" si="75"/>
        <v>71189227.743697733</v>
      </c>
      <c r="P135" s="135">
        <f t="shared" si="75"/>
        <v>71189227.743697733</v>
      </c>
      <c r="Q135" s="135">
        <f t="shared" si="75"/>
        <v>71189227.743697733</v>
      </c>
    </row>
    <row r="136" spans="1:17" outlineLevel="1" x14ac:dyDescent="0.25">
      <c r="A136" s="129" t="s">
        <v>428</v>
      </c>
      <c r="B136" s="142"/>
      <c r="C136" s="132">
        <f t="shared" ref="C136:Q136" si="76">-Tasa_Impuesto*MAX(C135,0)</f>
        <v>-6325737.8261765232</v>
      </c>
      <c r="D136" s="132">
        <f t="shared" si="76"/>
        <v>-17944795.253750086</v>
      </c>
      <c r="E136" s="132">
        <f t="shared" si="76"/>
        <v>-24916229.710294206</v>
      </c>
      <c r="F136" s="132">
        <f t="shared" si="76"/>
        <v>-24916229.710294206</v>
      </c>
      <c r="G136" s="132">
        <f t="shared" si="76"/>
        <v>-24916229.710294206</v>
      </c>
      <c r="H136" s="132">
        <f t="shared" si="76"/>
        <v>-24916229.710294206</v>
      </c>
      <c r="I136" s="132">
        <f t="shared" si="76"/>
        <v>-24916229.710294206</v>
      </c>
      <c r="J136" s="132">
        <f t="shared" si="76"/>
        <v>-24916229.710294206</v>
      </c>
      <c r="K136" s="132">
        <f t="shared" si="76"/>
        <v>-24916229.710294206</v>
      </c>
      <c r="L136" s="132">
        <f t="shared" si="76"/>
        <v>-24916229.710294206</v>
      </c>
      <c r="M136" s="132">
        <f t="shared" si="76"/>
        <v>-24916229.710294206</v>
      </c>
      <c r="N136" s="132">
        <f t="shared" si="76"/>
        <v>-24916229.710294206</v>
      </c>
      <c r="O136" s="132">
        <f t="shared" si="76"/>
        <v>-24916229.710294206</v>
      </c>
      <c r="P136" s="132">
        <f t="shared" si="76"/>
        <v>-24916229.710294206</v>
      </c>
      <c r="Q136" s="132">
        <f t="shared" si="76"/>
        <v>-24916229.710294206</v>
      </c>
    </row>
    <row r="137" spans="1:17" outlineLevel="1" x14ac:dyDescent="0.25">
      <c r="A137" s="250" t="s">
        <v>429</v>
      </c>
      <c r="B137" s="251"/>
      <c r="C137" s="252">
        <v>0</v>
      </c>
      <c r="D137" s="252">
        <v>0</v>
      </c>
      <c r="E137" s="252">
        <v>0</v>
      </c>
      <c r="F137" s="252">
        <v>0</v>
      </c>
      <c r="G137" s="252">
        <v>0</v>
      </c>
      <c r="H137" s="252">
        <v>0</v>
      </c>
      <c r="I137" s="252">
        <v>0</v>
      </c>
      <c r="J137" s="252">
        <v>0</v>
      </c>
      <c r="K137" s="252">
        <v>0</v>
      </c>
      <c r="L137" s="252">
        <v>0</v>
      </c>
      <c r="M137" s="252">
        <v>0</v>
      </c>
      <c r="N137" s="252">
        <v>0</v>
      </c>
      <c r="O137" s="252">
        <v>0</v>
      </c>
      <c r="P137" s="252">
        <v>0</v>
      </c>
      <c r="Q137" s="252">
        <v>0</v>
      </c>
    </row>
    <row r="138" spans="1:17" outlineLevel="1" x14ac:dyDescent="0.25">
      <c r="A138" s="250" t="s">
        <v>430</v>
      </c>
      <c r="B138" s="251">
        <v>0</v>
      </c>
      <c r="C138" s="252">
        <v>0</v>
      </c>
      <c r="D138" s="252">
        <v>0</v>
      </c>
      <c r="E138" s="252">
        <v>0</v>
      </c>
      <c r="F138" s="252">
        <v>0</v>
      </c>
      <c r="G138" s="252">
        <v>0</v>
      </c>
      <c r="H138" s="252">
        <v>0</v>
      </c>
      <c r="I138" s="252">
        <v>0</v>
      </c>
      <c r="J138" s="252">
        <v>0</v>
      </c>
      <c r="K138" s="252">
        <v>0</v>
      </c>
      <c r="L138" s="252">
        <v>0</v>
      </c>
      <c r="M138" s="252">
        <v>0</v>
      </c>
      <c r="N138" s="252">
        <v>0</v>
      </c>
      <c r="O138" s="252">
        <v>0</v>
      </c>
      <c r="P138" s="252">
        <v>0</v>
      </c>
      <c r="Q138" s="252">
        <f>$E$19*Tasa_Provision_Cierre</f>
        <v>-81312000.000000015</v>
      </c>
    </row>
    <row r="139" spans="1:17" outlineLevel="1" x14ac:dyDescent="0.25">
      <c r="A139" s="139" t="s">
        <v>431</v>
      </c>
      <c r="B139" s="253">
        <f>B132+B133+B136+B137+B138</f>
        <v>-813120000.00000012</v>
      </c>
      <c r="C139" s="141">
        <f t="shared" ref="C139:Q139" si="77">C132+C136+C137+C138</f>
        <v>36141398.820042118</v>
      </c>
      <c r="D139" s="141">
        <f t="shared" si="77"/>
        <v>67883648.328393027</v>
      </c>
      <c r="E139" s="141">
        <f t="shared" si="77"/>
        <v>86928998.033403546</v>
      </c>
      <c r="F139" s="141">
        <f t="shared" si="77"/>
        <v>86928998.033403546</v>
      </c>
      <c r="G139" s="141">
        <f t="shared" si="77"/>
        <v>86928998.033403546</v>
      </c>
      <c r="H139" s="141">
        <f t="shared" si="77"/>
        <v>86928998.033403546</v>
      </c>
      <c r="I139" s="141">
        <f t="shared" si="77"/>
        <v>86928998.033403546</v>
      </c>
      <c r="J139" s="141">
        <f t="shared" si="77"/>
        <v>86928998.033403546</v>
      </c>
      <c r="K139" s="141">
        <f t="shared" si="77"/>
        <v>86928998.033403546</v>
      </c>
      <c r="L139" s="141">
        <f t="shared" si="77"/>
        <v>86928998.033403546</v>
      </c>
      <c r="M139" s="141">
        <f t="shared" si="77"/>
        <v>86928998.033403546</v>
      </c>
      <c r="N139" s="141">
        <f t="shared" si="77"/>
        <v>86928998.033403546</v>
      </c>
      <c r="O139" s="141">
        <f t="shared" si="77"/>
        <v>86928998.033403546</v>
      </c>
      <c r="P139" s="141">
        <f t="shared" si="77"/>
        <v>86928998.033403546</v>
      </c>
      <c r="Q139" s="141">
        <f t="shared" si="77"/>
        <v>5616998.0334035307</v>
      </c>
    </row>
    <row r="140" spans="1:17" outlineLevel="1" x14ac:dyDescent="0.25">
      <c r="A140" s="129" t="s">
        <v>432</v>
      </c>
      <c r="B140" s="142">
        <f>B139</f>
        <v>-813120000.00000012</v>
      </c>
      <c r="C140" s="132">
        <f t="shared" ref="C140:Q140" si="78">B140+C139</f>
        <v>-776978601.17995799</v>
      </c>
      <c r="D140" s="132">
        <f t="shared" si="78"/>
        <v>-709094952.851565</v>
      </c>
      <c r="E140" s="132">
        <f t="shared" si="78"/>
        <v>-622165954.81816149</v>
      </c>
      <c r="F140" s="132">
        <f t="shared" si="78"/>
        <v>-535236956.78475797</v>
      </c>
      <c r="G140" s="132">
        <f t="shared" si="78"/>
        <v>-448307958.75135446</v>
      </c>
      <c r="H140" s="132">
        <f t="shared" si="78"/>
        <v>-361378960.71795094</v>
      </c>
      <c r="I140" s="132">
        <f t="shared" si="78"/>
        <v>-274449962.68454742</v>
      </c>
      <c r="J140" s="132">
        <f t="shared" si="78"/>
        <v>-187520964.65114388</v>
      </c>
      <c r="K140" s="132">
        <f t="shared" si="78"/>
        <v>-100591966.61774033</v>
      </c>
      <c r="L140" s="132">
        <f t="shared" si="78"/>
        <v>-13662968.584336787</v>
      </c>
      <c r="M140" s="132">
        <f t="shared" si="78"/>
        <v>73266029.449066758</v>
      </c>
      <c r="N140" s="132">
        <f t="shared" si="78"/>
        <v>160195027.4824703</v>
      </c>
      <c r="O140" s="132">
        <f t="shared" si="78"/>
        <v>247124025.51587385</v>
      </c>
      <c r="P140" s="132">
        <f t="shared" si="78"/>
        <v>334053023.54927742</v>
      </c>
      <c r="Q140" s="132">
        <f t="shared" si="78"/>
        <v>339670021.58268094</v>
      </c>
    </row>
    <row r="141" spans="1:17" outlineLevel="1" x14ac:dyDescent="0.25">
      <c r="A141" s="139" t="s">
        <v>450</v>
      </c>
      <c r="B141" s="141">
        <f>B139+NPV(WACC,C139:Q139)</f>
        <v>-233307079.04582751</v>
      </c>
      <c r="C141" s="109"/>
      <c r="D141" s="109"/>
      <c r="E141" s="109"/>
      <c r="F141" s="109"/>
      <c r="G141" s="109"/>
      <c r="H141" s="109"/>
      <c r="I141" s="109"/>
      <c r="J141" s="109"/>
      <c r="K141" s="109"/>
    </row>
    <row r="142" spans="1:17" outlineLevel="1" x14ac:dyDescent="0.25">
      <c r="A142" s="139" t="s">
        <v>452</v>
      </c>
      <c r="B142" s="204">
        <f>IFERROR(IRR(B139:Q139),"N/A")</f>
        <v>4.7185609977282938E-2</v>
      </c>
      <c r="C142" s="109"/>
      <c r="D142" s="109"/>
      <c r="E142" s="109"/>
      <c r="F142" s="109"/>
      <c r="G142" s="109"/>
      <c r="H142" s="109"/>
      <c r="I142" s="109"/>
      <c r="J142" s="109"/>
      <c r="K142" s="109"/>
    </row>
    <row r="143" spans="1:17" ht="30" outlineLevel="1" x14ac:dyDescent="0.25">
      <c r="A143" s="108" t="s">
        <v>434</v>
      </c>
      <c r="B143" s="132">
        <v>0</v>
      </c>
      <c r="C143" s="132">
        <f t="shared" ref="C143:Q143" si="79">(1-Tasa_Impuesto)*C120</f>
        <v>23296603.40292285</v>
      </c>
      <c r="D143" s="132">
        <f t="shared" si="79"/>
        <v>33003521.487474035</v>
      </c>
      <c r="E143" s="132">
        <f t="shared" si="79"/>
        <v>38827672.338204749</v>
      </c>
      <c r="F143" s="132">
        <f t="shared" si="79"/>
        <v>38827672.338204749</v>
      </c>
      <c r="G143" s="132">
        <f t="shared" si="79"/>
        <v>38827672.338204749</v>
      </c>
      <c r="H143" s="132">
        <f t="shared" si="79"/>
        <v>38827672.338204749</v>
      </c>
      <c r="I143" s="132">
        <f t="shared" si="79"/>
        <v>38827672.338204749</v>
      </c>
      <c r="J143" s="132">
        <f t="shared" si="79"/>
        <v>38827672.338204749</v>
      </c>
      <c r="K143" s="132">
        <f t="shared" si="79"/>
        <v>38827672.338204749</v>
      </c>
      <c r="L143" s="132">
        <f t="shared" si="79"/>
        <v>38827672.338204749</v>
      </c>
      <c r="M143" s="132">
        <f t="shared" si="79"/>
        <v>38827672.338204749</v>
      </c>
      <c r="N143" s="132">
        <f t="shared" si="79"/>
        <v>38827672.338204749</v>
      </c>
      <c r="O143" s="132">
        <f t="shared" si="79"/>
        <v>38827672.338204749</v>
      </c>
      <c r="P143" s="132">
        <f t="shared" si="79"/>
        <v>38827672.338204749</v>
      </c>
      <c r="Q143" s="132">
        <f t="shared" si="79"/>
        <v>38827672.338204749</v>
      </c>
    </row>
    <row r="144" spans="1:17" outlineLevel="1" x14ac:dyDescent="0.25">
      <c r="A144" s="108" t="s">
        <v>435</v>
      </c>
      <c r="B144" s="132">
        <v>0</v>
      </c>
      <c r="C144" s="132">
        <f t="shared" ref="C144:Q144" si="80">(1-Tasa_Impuesto)*(C124+C125+C131)-Tasa_Impuesto*C134+C138</f>
        <v>-61704335.472233832</v>
      </c>
      <c r="D144" s="132">
        <f t="shared" si="80"/>
        <v>-70731141.918997943</v>
      </c>
      <c r="E144" s="132">
        <f t="shared" si="80"/>
        <v>-76147225.787056386</v>
      </c>
      <c r="F144" s="132">
        <f t="shared" si="80"/>
        <v>-76147225.787056386</v>
      </c>
      <c r="G144" s="132">
        <f t="shared" si="80"/>
        <v>-76147225.787056386</v>
      </c>
      <c r="H144" s="132">
        <f t="shared" si="80"/>
        <v>-76147225.787056386</v>
      </c>
      <c r="I144" s="132">
        <f t="shared" si="80"/>
        <v>-76147225.787056386</v>
      </c>
      <c r="J144" s="132">
        <f t="shared" si="80"/>
        <v>-76147225.787056386</v>
      </c>
      <c r="K144" s="132">
        <f t="shared" si="80"/>
        <v>-76147225.787056386</v>
      </c>
      <c r="L144" s="132">
        <f t="shared" si="80"/>
        <v>-76147225.787056386</v>
      </c>
      <c r="M144" s="132">
        <f t="shared" si="80"/>
        <v>-76147225.787056386</v>
      </c>
      <c r="N144" s="132">
        <f t="shared" si="80"/>
        <v>-76147225.787056386</v>
      </c>
      <c r="O144" s="132">
        <f t="shared" si="80"/>
        <v>-76147225.787056386</v>
      </c>
      <c r="P144" s="132">
        <f t="shared" si="80"/>
        <v>-76147225.787056386</v>
      </c>
      <c r="Q144" s="132">
        <f t="shared" si="80"/>
        <v>-157459225.78705639</v>
      </c>
    </row>
    <row r="145" spans="1:17" outlineLevel="1" x14ac:dyDescent="0.25">
      <c r="A145" s="108"/>
      <c r="B145" s="109"/>
      <c r="C145" s="254" t="s">
        <v>200</v>
      </c>
      <c r="D145" s="254" t="s">
        <v>534</v>
      </c>
      <c r="E145" s="254" t="s">
        <v>535</v>
      </c>
      <c r="F145" s="109"/>
      <c r="G145" s="109"/>
      <c r="H145" s="109"/>
      <c r="I145" s="109"/>
      <c r="J145" s="109"/>
      <c r="K145" s="109"/>
      <c r="L145"/>
      <c r="M145"/>
      <c r="N145"/>
      <c r="O145"/>
      <c r="P145"/>
      <c r="Q145"/>
    </row>
    <row r="146" spans="1:17" x14ac:dyDescent="0.25">
      <c r="A146" s="3" t="s">
        <v>436</v>
      </c>
      <c r="B146" s="109"/>
      <c r="C146" s="131">
        <f>SUM(C113:Q113)</f>
        <v>108375000</v>
      </c>
      <c r="D146" s="144">
        <f>Reservas_Totales</f>
        <v>150000000</v>
      </c>
      <c r="E146" s="131">
        <f>C144-D144</f>
        <v>9026806.4467641115</v>
      </c>
      <c r="F146" s="109"/>
      <c r="G146" s="109"/>
      <c r="H146" s="109"/>
      <c r="I146" s="109"/>
      <c r="J146" s="109"/>
      <c r="K146" s="109"/>
      <c r="L146"/>
      <c r="M146"/>
      <c r="N146"/>
      <c r="O146"/>
      <c r="P146"/>
      <c r="Q146"/>
    </row>
    <row r="147" spans="1:17" x14ac:dyDescent="0.25">
      <c r="A147" s="257" t="s">
        <v>538</v>
      </c>
      <c r="B147" s="257"/>
      <c r="C147" s="257"/>
      <c r="D147" s="257"/>
      <c r="E147" s="257"/>
      <c r="F147" s="257"/>
      <c r="G147" s="257"/>
      <c r="H147" s="257"/>
      <c r="I147" s="257"/>
      <c r="J147" s="257"/>
      <c r="K147" s="257"/>
      <c r="L147" s="257"/>
      <c r="M147" s="257"/>
      <c r="N147" s="257"/>
      <c r="O147" s="257"/>
      <c r="P147" s="257"/>
      <c r="Q147" s="257"/>
    </row>
    <row r="148" spans="1:17" x14ac:dyDescent="0.25">
      <c r="A148" s="256"/>
      <c r="B148" s="256"/>
      <c r="C148" s="256"/>
      <c r="D148" s="256"/>
      <c r="E148" s="256"/>
      <c r="F148" s="256"/>
      <c r="G148" s="256"/>
      <c r="H148" s="256"/>
      <c r="I148" s="256"/>
      <c r="J148" s="256"/>
      <c r="K148" s="256"/>
      <c r="L148" s="256"/>
      <c r="M148" s="256"/>
      <c r="N148" s="256"/>
      <c r="O148" s="256"/>
      <c r="P148" s="256"/>
      <c r="Q148" s="256"/>
    </row>
    <row r="149" spans="1:17" outlineLevel="1" x14ac:dyDescent="0.25">
      <c r="A149" s="110" t="s">
        <v>196</v>
      </c>
      <c r="B149" s="201" t="s">
        <v>399</v>
      </c>
      <c r="C149" s="111" t="s">
        <v>400</v>
      </c>
      <c r="D149" s="111" t="s">
        <v>401</v>
      </c>
      <c r="E149" s="111" t="s">
        <v>402</v>
      </c>
      <c r="F149" s="111" t="s">
        <v>403</v>
      </c>
      <c r="G149" s="111" t="s">
        <v>404</v>
      </c>
      <c r="H149" s="111" t="s">
        <v>405</v>
      </c>
      <c r="I149" s="111" t="s">
        <v>406</v>
      </c>
      <c r="J149" s="111" t="s">
        <v>407</v>
      </c>
      <c r="K149" s="111" t="s">
        <v>408</v>
      </c>
      <c r="L149" s="111" t="s">
        <v>409</v>
      </c>
      <c r="M149" s="111" t="s">
        <v>410</v>
      </c>
      <c r="N149" s="111" t="s">
        <v>411</v>
      </c>
      <c r="O149" s="111" t="s">
        <v>412</v>
      </c>
      <c r="P149" s="111" t="s">
        <v>413</v>
      </c>
      <c r="Q149" s="111" t="s">
        <v>414</v>
      </c>
    </row>
    <row r="150" spans="1:17" outlineLevel="1" x14ac:dyDescent="0.25">
      <c r="A150" s="123" t="s">
        <v>415</v>
      </c>
      <c r="B150" s="240"/>
      <c r="C150" s="115">
        <v>0.6</v>
      </c>
      <c r="D150" s="115">
        <v>0.85</v>
      </c>
      <c r="E150" s="115">
        <v>1</v>
      </c>
      <c r="F150" s="115">
        <v>1</v>
      </c>
      <c r="G150" s="115">
        <v>1</v>
      </c>
      <c r="H150" s="115">
        <v>1</v>
      </c>
      <c r="I150" s="115">
        <v>1</v>
      </c>
      <c r="J150" s="115">
        <v>1</v>
      </c>
      <c r="K150" s="115">
        <v>1</v>
      </c>
      <c r="L150" s="115">
        <v>1</v>
      </c>
      <c r="M150" s="115">
        <v>1</v>
      </c>
      <c r="N150" s="115">
        <v>1</v>
      </c>
      <c r="O150" s="115">
        <v>1</v>
      </c>
      <c r="P150" s="115">
        <v>1</v>
      </c>
      <c r="Q150" s="115">
        <v>1</v>
      </c>
    </row>
    <row r="151" spans="1:17" outlineLevel="1" x14ac:dyDescent="0.25">
      <c r="A151" s="123" t="s">
        <v>532</v>
      </c>
      <c r="B151" s="241"/>
      <c r="C151" s="119">
        <f t="shared" ref="C151:Q151" si="81">$F$15*C150</f>
        <v>6000000</v>
      </c>
      <c r="D151" s="119">
        <f t="shared" si="81"/>
        <v>8500000</v>
      </c>
      <c r="E151" s="119">
        <f t="shared" si="81"/>
        <v>10000000</v>
      </c>
      <c r="F151" s="119">
        <f t="shared" si="81"/>
        <v>10000000</v>
      </c>
      <c r="G151" s="119">
        <f t="shared" si="81"/>
        <v>10000000</v>
      </c>
      <c r="H151" s="119">
        <f t="shared" si="81"/>
        <v>10000000</v>
      </c>
      <c r="I151" s="119">
        <f t="shared" si="81"/>
        <v>10000000</v>
      </c>
      <c r="J151" s="119">
        <f t="shared" si="81"/>
        <v>10000000</v>
      </c>
      <c r="K151" s="119">
        <f t="shared" si="81"/>
        <v>10000000</v>
      </c>
      <c r="L151" s="119">
        <f t="shared" si="81"/>
        <v>10000000</v>
      </c>
      <c r="M151" s="119">
        <f t="shared" si="81"/>
        <v>10000000</v>
      </c>
      <c r="N151" s="119">
        <f t="shared" si="81"/>
        <v>10000000</v>
      </c>
      <c r="O151" s="119">
        <f t="shared" si="81"/>
        <v>10000000</v>
      </c>
      <c r="P151" s="119">
        <f t="shared" si="81"/>
        <v>10000000</v>
      </c>
      <c r="Q151" s="119">
        <f t="shared" si="81"/>
        <v>10000000</v>
      </c>
    </row>
    <row r="152" spans="1:17" outlineLevel="1" x14ac:dyDescent="0.25">
      <c r="A152" s="123" t="s">
        <v>201</v>
      </c>
      <c r="B152" s="242"/>
      <c r="C152" s="122">
        <f t="shared" ref="C152:Q152" si="82">$F$17</f>
        <v>5.4999999999999997E-3</v>
      </c>
      <c r="D152" s="122">
        <f t="shared" si="82"/>
        <v>5.4999999999999997E-3</v>
      </c>
      <c r="E152" s="122">
        <f t="shared" si="82"/>
        <v>5.4999999999999997E-3</v>
      </c>
      <c r="F152" s="122">
        <f t="shared" si="82"/>
        <v>5.4999999999999997E-3</v>
      </c>
      <c r="G152" s="122">
        <f t="shared" si="82"/>
        <v>5.4999999999999997E-3</v>
      </c>
      <c r="H152" s="122">
        <f t="shared" si="82"/>
        <v>5.4999999999999997E-3</v>
      </c>
      <c r="I152" s="122">
        <f t="shared" si="82"/>
        <v>5.4999999999999997E-3</v>
      </c>
      <c r="J152" s="122">
        <f t="shared" si="82"/>
        <v>5.4999999999999997E-3</v>
      </c>
      <c r="K152" s="122">
        <f t="shared" si="82"/>
        <v>5.4999999999999997E-3</v>
      </c>
      <c r="L152" s="122">
        <f t="shared" si="82"/>
        <v>5.4999999999999997E-3</v>
      </c>
      <c r="M152" s="122">
        <f t="shared" si="82"/>
        <v>5.4999999999999997E-3</v>
      </c>
      <c r="N152" s="122">
        <f t="shared" si="82"/>
        <v>5.4999999999999997E-3</v>
      </c>
      <c r="O152" s="122">
        <f t="shared" si="82"/>
        <v>5.4999999999999997E-3</v>
      </c>
      <c r="P152" s="122">
        <f t="shared" si="82"/>
        <v>5.4999999999999997E-3</v>
      </c>
      <c r="Q152" s="122">
        <f t="shared" si="82"/>
        <v>5.4999999999999997E-3</v>
      </c>
    </row>
    <row r="153" spans="1:17" outlineLevel="1" x14ac:dyDescent="0.25">
      <c r="A153" s="123" t="s">
        <v>416</v>
      </c>
      <c r="B153" s="118"/>
      <c r="C153" s="124">
        <f t="shared" ref="C153:Q153" si="83">C151*C152</f>
        <v>33000</v>
      </c>
      <c r="D153" s="124">
        <f t="shared" si="83"/>
        <v>46750</v>
      </c>
      <c r="E153" s="124">
        <f t="shared" si="83"/>
        <v>55000</v>
      </c>
      <c r="F153" s="124">
        <f t="shared" si="83"/>
        <v>55000</v>
      </c>
      <c r="G153" s="124">
        <f t="shared" si="83"/>
        <v>55000</v>
      </c>
      <c r="H153" s="124">
        <f t="shared" si="83"/>
        <v>55000</v>
      </c>
      <c r="I153" s="124">
        <f t="shared" si="83"/>
        <v>55000</v>
      </c>
      <c r="J153" s="124">
        <f t="shared" si="83"/>
        <v>55000</v>
      </c>
      <c r="K153" s="124">
        <f t="shared" si="83"/>
        <v>55000</v>
      </c>
      <c r="L153" s="124">
        <f t="shared" si="83"/>
        <v>55000</v>
      </c>
      <c r="M153" s="124">
        <f t="shared" si="83"/>
        <v>55000</v>
      </c>
      <c r="N153" s="124">
        <f t="shared" si="83"/>
        <v>55000</v>
      </c>
      <c r="O153" s="124">
        <f t="shared" si="83"/>
        <v>55000</v>
      </c>
      <c r="P153" s="124">
        <f t="shared" si="83"/>
        <v>55000</v>
      </c>
      <c r="Q153" s="124">
        <f t="shared" si="83"/>
        <v>55000</v>
      </c>
    </row>
    <row r="154" spans="1:17" outlineLevel="1" x14ac:dyDescent="0.25">
      <c r="A154" s="123" t="s">
        <v>205</v>
      </c>
      <c r="B154" s="243"/>
      <c r="C154" s="125">
        <f t="shared" ref="C154:Q154" si="84">$F$18</f>
        <v>0.88</v>
      </c>
      <c r="D154" s="125">
        <f t="shared" si="84"/>
        <v>0.88</v>
      </c>
      <c r="E154" s="125">
        <f t="shared" si="84"/>
        <v>0.88</v>
      </c>
      <c r="F154" s="125">
        <f t="shared" si="84"/>
        <v>0.88</v>
      </c>
      <c r="G154" s="125">
        <f t="shared" si="84"/>
        <v>0.88</v>
      </c>
      <c r="H154" s="125">
        <f t="shared" si="84"/>
        <v>0.88</v>
      </c>
      <c r="I154" s="125">
        <f t="shared" si="84"/>
        <v>0.88</v>
      </c>
      <c r="J154" s="125">
        <f t="shared" si="84"/>
        <v>0.88</v>
      </c>
      <c r="K154" s="125">
        <f t="shared" si="84"/>
        <v>0.88</v>
      </c>
      <c r="L154" s="125">
        <f t="shared" si="84"/>
        <v>0.88</v>
      </c>
      <c r="M154" s="125">
        <f t="shared" si="84"/>
        <v>0.88</v>
      </c>
      <c r="N154" s="125">
        <f t="shared" si="84"/>
        <v>0.88</v>
      </c>
      <c r="O154" s="125">
        <f t="shared" si="84"/>
        <v>0.88</v>
      </c>
      <c r="P154" s="125">
        <f t="shared" si="84"/>
        <v>0.88</v>
      </c>
      <c r="Q154" s="125">
        <f t="shared" si="84"/>
        <v>0.88</v>
      </c>
    </row>
    <row r="155" spans="1:17" outlineLevel="1" x14ac:dyDescent="0.25">
      <c r="A155" s="123" t="s">
        <v>417</v>
      </c>
      <c r="B155" s="118"/>
      <c r="C155" s="124">
        <f t="shared" ref="C155:Q155" si="85">C153*C154</f>
        <v>29040</v>
      </c>
      <c r="D155" s="124">
        <f t="shared" si="85"/>
        <v>41140</v>
      </c>
      <c r="E155" s="124">
        <f t="shared" si="85"/>
        <v>48400</v>
      </c>
      <c r="F155" s="124">
        <f t="shared" si="85"/>
        <v>48400</v>
      </c>
      <c r="G155" s="124">
        <f t="shared" si="85"/>
        <v>48400</v>
      </c>
      <c r="H155" s="124">
        <f t="shared" si="85"/>
        <v>48400</v>
      </c>
      <c r="I155" s="124">
        <f t="shared" si="85"/>
        <v>48400</v>
      </c>
      <c r="J155" s="124">
        <f t="shared" si="85"/>
        <v>48400</v>
      </c>
      <c r="K155" s="124">
        <f t="shared" si="85"/>
        <v>48400</v>
      </c>
      <c r="L155" s="124">
        <f t="shared" si="85"/>
        <v>48400</v>
      </c>
      <c r="M155" s="124">
        <f t="shared" si="85"/>
        <v>48400</v>
      </c>
      <c r="N155" s="124">
        <f t="shared" si="85"/>
        <v>48400</v>
      </c>
      <c r="O155" s="124">
        <f t="shared" si="85"/>
        <v>48400</v>
      </c>
      <c r="P155" s="124">
        <f t="shared" si="85"/>
        <v>48400</v>
      </c>
      <c r="Q155" s="124">
        <f t="shared" si="85"/>
        <v>48400</v>
      </c>
    </row>
    <row r="156" spans="1:17" outlineLevel="1" x14ac:dyDescent="0.25">
      <c r="A156" s="123" t="s">
        <v>56</v>
      </c>
      <c r="B156" s="243"/>
      <c r="C156" s="125">
        <f t="shared" ref="C156:Q156" si="86">Payability</f>
        <v>0.96499999999999997</v>
      </c>
      <c r="D156" s="125">
        <f t="shared" si="86"/>
        <v>0.96499999999999997</v>
      </c>
      <c r="E156" s="125">
        <f t="shared" si="86"/>
        <v>0.96499999999999997</v>
      </c>
      <c r="F156" s="125">
        <f t="shared" si="86"/>
        <v>0.96499999999999997</v>
      </c>
      <c r="G156" s="125">
        <f t="shared" si="86"/>
        <v>0.96499999999999997</v>
      </c>
      <c r="H156" s="125">
        <f t="shared" si="86"/>
        <v>0.96499999999999997</v>
      </c>
      <c r="I156" s="125">
        <f t="shared" si="86"/>
        <v>0.96499999999999997</v>
      </c>
      <c r="J156" s="125">
        <f t="shared" si="86"/>
        <v>0.96499999999999997</v>
      </c>
      <c r="K156" s="125">
        <f t="shared" si="86"/>
        <v>0.96499999999999997</v>
      </c>
      <c r="L156" s="125">
        <f t="shared" si="86"/>
        <v>0.96499999999999997</v>
      </c>
      <c r="M156" s="125">
        <f t="shared" si="86"/>
        <v>0.96499999999999997</v>
      </c>
      <c r="N156" s="125">
        <f t="shared" si="86"/>
        <v>0.96499999999999997</v>
      </c>
      <c r="O156" s="125">
        <f t="shared" si="86"/>
        <v>0.96499999999999997</v>
      </c>
      <c r="P156" s="125">
        <f t="shared" si="86"/>
        <v>0.96499999999999997</v>
      </c>
      <c r="Q156" s="125">
        <f t="shared" si="86"/>
        <v>0.96499999999999997</v>
      </c>
    </row>
    <row r="157" spans="1:17" outlineLevel="1" x14ac:dyDescent="0.25">
      <c r="A157" s="123" t="s">
        <v>267</v>
      </c>
      <c r="B157" s="118"/>
      <c r="C157" s="124">
        <f t="shared" ref="C157:Q157" si="87">C155*C156</f>
        <v>28023.599999999999</v>
      </c>
      <c r="D157" s="124">
        <f t="shared" si="87"/>
        <v>39700.1</v>
      </c>
      <c r="E157" s="124">
        <f t="shared" si="87"/>
        <v>46706</v>
      </c>
      <c r="F157" s="124">
        <f t="shared" si="87"/>
        <v>46706</v>
      </c>
      <c r="G157" s="124">
        <f t="shared" si="87"/>
        <v>46706</v>
      </c>
      <c r="H157" s="124">
        <f t="shared" si="87"/>
        <v>46706</v>
      </c>
      <c r="I157" s="124">
        <f t="shared" si="87"/>
        <v>46706</v>
      </c>
      <c r="J157" s="124">
        <f t="shared" si="87"/>
        <v>46706</v>
      </c>
      <c r="K157" s="124">
        <f t="shared" si="87"/>
        <v>46706</v>
      </c>
      <c r="L157" s="124">
        <f t="shared" si="87"/>
        <v>46706</v>
      </c>
      <c r="M157" s="124">
        <f t="shared" si="87"/>
        <v>46706</v>
      </c>
      <c r="N157" s="124">
        <f t="shared" si="87"/>
        <v>46706</v>
      </c>
      <c r="O157" s="124">
        <f t="shared" si="87"/>
        <v>46706</v>
      </c>
      <c r="P157" s="124">
        <f t="shared" si="87"/>
        <v>46706</v>
      </c>
      <c r="Q157" s="124">
        <f t="shared" si="87"/>
        <v>46706</v>
      </c>
    </row>
    <row r="158" spans="1:17" outlineLevel="1" x14ac:dyDescent="0.25">
      <c r="A158" s="123" t="s">
        <v>269</v>
      </c>
      <c r="B158" s="118"/>
      <c r="C158" s="124">
        <f t="shared" ref="C158:Q158" si="88">C157*Factor_Conversion_TnLb</f>
        <v>61781389.03199999</v>
      </c>
      <c r="D158" s="124">
        <f t="shared" si="88"/>
        <v>87523634.461999997</v>
      </c>
      <c r="E158" s="124">
        <f t="shared" si="88"/>
        <v>102968981.72</v>
      </c>
      <c r="F158" s="124">
        <f t="shared" si="88"/>
        <v>102968981.72</v>
      </c>
      <c r="G158" s="124">
        <f t="shared" si="88"/>
        <v>102968981.72</v>
      </c>
      <c r="H158" s="124">
        <f t="shared" si="88"/>
        <v>102968981.72</v>
      </c>
      <c r="I158" s="124">
        <f t="shared" si="88"/>
        <v>102968981.72</v>
      </c>
      <c r="J158" s="124">
        <f t="shared" si="88"/>
        <v>102968981.72</v>
      </c>
      <c r="K158" s="124">
        <f t="shared" si="88"/>
        <v>102968981.72</v>
      </c>
      <c r="L158" s="124">
        <f t="shared" si="88"/>
        <v>102968981.72</v>
      </c>
      <c r="M158" s="124">
        <f t="shared" si="88"/>
        <v>102968981.72</v>
      </c>
      <c r="N158" s="124">
        <f t="shared" si="88"/>
        <v>102968981.72</v>
      </c>
      <c r="O158" s="124">
        <f t="shared" si="88"/>
        <v>102968981.72</v>
      </c>
      <c r="P158" s="124">
        <f t="shared" si="88"/>
        <v>102968981.72</v>
      </c>
      <c r="Q158" s="124">
        <f t="shared" si="88"/>
        <v>102968981.72</v>
      </c>
    </row>
    <row r="159" spans="1:17" outlineLevel="1" x14ac:dyDescent="0.25">
      <c r="A159" s="123" t="s">
        <v>227</v>
      </c>
      <c r="B159" s="244"/>
      <c r="C159" s="127">
        <f t="shared" ref="C159:Q159" si="89">$F$16</f>
        <v>4.2</v>
      </c>
      <c r="D159" s="127">
        <f t="shared" si="89"/>
        <v>4.2</v>
      </c>
      <c r="E159" s="127">
        <f t="shared" si="89"/>
        <v>4.2</v>
      </c>
      <c r="F159" s="127">
        <f t="shared" si="89"/>
        <v>4.2</v>
      </c>
      <c r="G159" s="127">
        <f t="shared" si="89"/>
        <v>4.2</v>
      </c>
      <c r="H159" s="127">
        <f t="shared" si="89"/>
        <v>4.2</v>
      </c>
      <c r="I159" s="127">
        <f t="shared" si="89"/>
        <v>4.2</v>
      </c>
      <c r="J159" s="127">
        <f t="shared" si="89"/>
        <v>4.2</v>
      </c>
      <c r="K159" s="127">
        <f t="shared" si="89"/>
        <v>4.2</v>
      </c>
      <c r="L159" s="127">
        <f t="shared" si="89"/>
        <v>4.2</v>
      </c>
      <c r="M159" s="127">
        <f t="shared" si="89"/>
        <v>4.2</v>
      </c>
      <c r="N159" s="127">
        <f t="shared" si="89"/>
        <v>4.2</v>
      </c>
      <c r="O159" s="127">
        <f t="shared" si="89"/>
        <v>4.2</v>
      </c>
      <c r="P159" s="127">
        <f t="shared" si="89"/>
        <v>4.2</v>
      </c>
      <c r="Q159" s="127">
        <f t="shared" si="89"/>
        <v>4.2</v>
      </c>
    </row>
    <row r="160" spans="1:17" outlineLevel="1" x14ac:dyDescent="0.25">
      <c r="A160" s="245" t="s">
        <v>228</v>
      </c>
      <c r="B160" s="246"/>
      <c r="C160" s="247">
        <f t="shared" ref="C160:Q160" si="90">C158*C159</f>
        <v>259481833.93439996</v>
      </c>
      <c r="D160" s="247">
        <f t="shared" si="90"/>
        <v>367599264.74040002</v>
      </c>
      <c r="E160" s="247">
        <f t="shared" si="90"/>
        <v>432469723.22400004</v>
      </c>
      <c r="F160" s="247">
        <f t="shared" si="90"/>
        <v>432469723.22400004</v>
      </c>
      <c r="G160" s="247">
        <f t="shared" si="90"/>
        <v>432469723.22400004</v>
      </c>
      <c r="H160" s="247">
        <f t="shared" si="90"/>
        <v>432469723.22400004</v>
      </c>
      <c r="I160" s="247">
        <f t="shared" si="90"/>
        <v>432469723.22400004</v>
      </c>
      <c r="J160" s="247">
        <f t="shared" si="90"/>
        <v>432469723.22400004</v>
      </c>
      <c r="K160" s="247">
        <f t="shared" si="90"/>
        <v>432469723.22400004</v>
      </c>
      <c r="L160" s="247">
        <f t="shared" si="90"/>
        <v>432469723.22400004</v>
      </c>
      <c r="M160" s="247">
        <f t="shared" si="90"/>
        <v>432469723.22400004</v>
      </c>
      <c r="N160" s="247">
        <f t="shared" si="90"/>
        <v>432469723.22400004</v>
      </c>
      <c r="O160" s="247">
        <f t="shared" si="90"/>
        <v>432469723.22400004</v>
      </c>
      <c r="P160" s="247">
        <f t="shared" si="90"/>
        <v>432469723.22400004</v>
      </c>
      <c r="Q160" s="247">
        <f t="shared" si="90"/>
        <v>432469723.22400004</v>
      </c>
    </row>
    <row r="161" spans="1:17" outlineLevel="1" x14ac:dyDescent="0.25">
      <c r="A161" s="129" t="s">
        <v>418</v>
      </c>
      <c r="B161" s="248"/>
      <c r="C161" s="131">
        <f t="shared" ref="C161:Q161" si="91">C155/Ley_Concentrado</f>
        <v>96800</v>
      </c>
      <c r="D161" s="131">
        <f t="shared" si="91"/>
        <v>137133.33333333334</v>
      </c>
      <c r="E161" s="131">
        <f t="shared" si="91"/>
        <v>161333.33333333334</v>
      </c>
      <c r="F161" s="131">
        <f t="shared" si="91"/>
        <v>161333.33333333334</v>
      </c>
      <c r="G161" s="131">
        <f t="shared" si="91"/>
        <v>161333.33333333334</v>
      </c>
      <c r="H161" s="131">
        <f t="shared" si="91"/>
        <v>161333.33333333334</v>
      </c>
      <c r="I161" s="131">
        <f t="shared" si="91"/>
        <v>161333.33333333334</v>
      </c>
      <c r="J161" s="131">
        <f t="shared" si="91"/>
        <v>161333.33333333334</v>
      </c>
      <c r="K161" s="131">
        <f t="shared" si="91"/>
        <v>161333.33333333334</v>
      </c>
      <c r="L161" s="131">
        <f t="shared" si="91"/>
        <v>161333.33333333334</v>
      </c>
      <c r="M161" s="131">
        <f t="shared" si="91"/>
        <v>161333.33333333334</v>
      </c>
      <c r="N161" s="131">
        <f t="shared" si="91"/>
        <v>161333.33333333334</v>
      </c>
      <c r="O161" s="131">
        <f t="shared" si="91"/>
        <v>161333.33333333334</v>
      </c>
      <c r="P161" s="131">
        <f t="shared" si="91"/>
        <v>161333.33333333334</v>
      </c>
      <c r="Q161" s="131">
        <f t="shared" si="91"/>
        <v>161333.33333333334</v>
      </c>
    </row>
    <row r="162" spans="1:17" outlineLevel="1" x14ac:dyDescent="0.25">
      <c r="A162" s="129" t="s">
        <v>419</v>
      </c>
      <c r="B162" s="142"/>
      <c r="C162" s="132">
        <f t="shared" ref="C162:Q162" si="92">-C161*TC_Unitario</f>
        <v>-7744000</v>
      </c>
      <c r="D162" s="132">
        <f t="shared" si="92"/>
        <v>-10970666.666666668</v>
      </c>
      <c r="E162" s="132">
        <f t="shared" si="92"/>
        <v>-12906666.666666668</v>
      </c>
      <c r="F162" s="132">
        <f t="shared" si="92"/>
        <v>-12906666.666666668</v>
      </c>
      <c r="G162" s="132">
        <f t="shared" si="92"/>
        <v>-12906666.666666668</v>
      </c>
      <c r="H162" s="132">
        <f t="shared" si="92"/>
        <v>-12906666.666666668</v>
      </c>
      <c r="I162" s="132">
        <f t="shared" si="92"/>
        <v>-12906666.666666668</v>
      </c>
      <c r="J162" s="132">
        <f t="shared" si="92"/>
        <v>-12906666.666666668</v>
      </c>
      <c r="K162" s="132">
        <f t="shared" si="92"/>
        <v>-12906666.666666668</v>
      </c>
      <c r="L162" s="132">
        <f t="shared" si="92"/>
        <v>-12906666.666666668</v>
      </c>
      <c r="M162" s="132">
        <f t="shared" si="92"/>
        <v>-12906666.666666668</v>
      </c>
      <c r="N162" s="132">
        <f t="shared" si="92"/>
        <v>-12906666.666666668</v>
      </c>
      <c r="O162" s="132">
        <f t="shared" si="92"/>
        <v>-12906666.666666668</v>
      </c>
      <c r="P162" s="132">
        <f t="shared" si="92"/>
        <v>-12906666.666666668</v>
      </c>
      <c r="Q162" s="132">
        <f t="shared" si="92"/>
        <v>-12906666.666666668</v>
      </c>
    </row>
    <row r="163" spans="1:17" outlineLevel="1" x14ac:dyDescent="0.25">
      <c r="A163" s="129" t="s">
        <v>420</v>
      </c>
      <c r="B163" s="142"/>
      <c r="C163" s="132">
        <f t="shared" ref="C163:Q163" si="93">-C158*RC_Unitario</f>
        <v>-4942511.1225599991</v>
      </c>
      <c r="D163" s="132">
        <f t="shared" si="93"/>
        <v>-7001890.7569599999</v>
      </c>
      <c r="E163" s="132">
        <f t="shared" si="93"/>
        <v>-8237518.5376000004</v>
      </c>
      <c r="F163" s="132">
        <f t="shared" si="93"/>
        <v>-8237518.5376000004</v>
      </c>
      <c r="G163" s="132">
        <f t="shared" si="93"/>
        <v>-8237518.5376000004</v>
      </c>
      <c r="H163" s="132">
        <f t="shared" si="93"/>
        <v>-8237518.5376000004</v>
      </c>
      <c r="I163" s="132">
        <f t="shared" si="93"/>
        <v>-8237518.5376000004</v>
      </c>
      <c r="J163" s="132">
        <f t="shared" si="93"/>
        <v>-8237518.5376000004</v>
      </c>
      <c r="K163" s="132">
        <f t="shared" si="93"/>
        <v>-8237518.5376000004</v>
      </c>
      <c r="L163" s="132">
        <f t="shared" si="93"/>
        <v>-8237518.5376000004</v>
      </c>
      <c r="M163" s="132">
        <f t="shared" si="93"/>
        <v>-8237518.5376000004</v>
      </c>
      <c r="N163" s="132">
        <f t="shared" si="93"/>
        <v>-8237518.5376000004</v>
      </c>
      <c r="O163" s="132">
        <f t="shared" si="93"/>
        <v>-8237518.5376000004</v>
      </c>
      <c r="P163" s="132">
        <f t="shared" si="93"/>
        <v>-8237518.5376000004</v>
      </c>
      <c r="Q163" s="132">
        <f t="shared" si="93"/>
        <v>-8237518.5376000004</v>
      </c>
    </row>
    <row r="164" spans="1:17" outlineLevel="1" x14ac:dyDescent="0.25">
      <c r="A164" s="133" t="s">
        <v>421</v>
      </c>
      <c r="B164" s="249"/>
      <c r="C164" s="135">
        <f t="shared" ref="C164:Q164" si="94">C160+C162+C163</f>
        <v>246795322.81183997</v>
      </c>
      <c r="D164" s="135">
        <f t="shared" si="94"/>
        <v>349626707.31677336</v>
      </c>
      <c r="E164" s="135">
        <f t="shared" si="94"/>
        <v>411325538.01973337</v>
      </c>
      <c r="F164" s="135">
        <f t="shared" si="94"/>
        <v>411325538.01973337</v>
      </c>
      <c r="G164" s="135">
        <f t="shared" si="94"/>
        <v>411325538.01973337</v>
      </c>
      <c r="H164" s="135">
        <f t="shared" si="94"/>
        <v>411325538.01973337</v>
      </c>
      <c r="I164" s="135">
        <f t="shared" si="94"/>
        <v>411325538.01973337</v>
      </c>
      <c r="J164" s="135">
        <f t="shared" si="94"/>
        <v>411325538.01973337</v>
      </c>
      <c r="K164" s="135">
        <f t="shared" si="94"/>
        <v>411325538.01973337</v>
      </c>
      <c r="L164" s="135">
        <f t="shared" si="94"/>
        <v>411325538.01973337</v>
      </c>
      <c r="M164" s="135">
        <f t="shared" si="94"/>
        <v>411325538.01973337</v>
      </c>
      <c r="N164" s="135">
        <f t="shared" si="94"/>
        <v>411325538.01973337</v>
      </c>
      <c r="O164" s="135">
        <f t="shared" si="94"/>
        <v>411325538.01973337</v>
      </c>
      <c r="P164" s="135">
        <f t="shared" si="94"/>
        <v>411325538.01973337</v>
      </c>
      <c r="Q164" s="135">
        <f t="shared" si="94"/>
        <v>411325538.01973337</v>
      </c>
    </row>
    <row r="165" spans="1:17" outlineLevel="1" x14ac:dyDescent="0.25">
      <c r="A165" s="129" t="s">
        <v>422</v>
      </c>
      <c r="B165" s="142"/>
      <c r="C165" s="132">
        <f t="shared" ref="C165:Q165" si="95">-C151*Costo_Mina_Unitario</f>
        <v>-19200000</v>
      </c>
      <c r="D165" s="132">
        <f t="shared" si="95"/>
        <v>-27200000</v>
      </c>
      <c r="E165" s="132">
        <f t="shared" si="95"/>
        <v>-32000000</v>
      </c>
      <c r="F165" s="132">
        <f t="shared" si="95"/>
        <v>-32000000</v>
      </c>
      <c r="G165" s="132">
        <f t="shared" si="95"/>
        <v>-32000000</v>
      </c>
      <c r="H165" s="132">
        <f t="shared" si="95"/>
        <v>-32000000</v>
      </c>
      <c r="I165" s="132">
        <f t="shared" si="95"/>
        <v>-32000000</v>
      </c>
      <c r="J165" s="132">
        <f t="shared" si="95"/>
        <v>-32000000</v>
      </c>
      <c r="K165" s="132">
        <f t="shared" si="95"/>
        <v>-32000000</v>
      </c>
      <c r="L165" s="132">
        <f t="shared" si="95"/>
        <v>-32000000</v>
      </c>
      <c r="M165" s="132">
        <f t="shared" si="95"/>
        <v>-32000000</v>
      </c>
      <c r="N165" s="132">
        <f t="shared" si="95"/>
        <v>-32000000</v>
      </c>
      <c r="O165" s="132">
        <f t="shared" si="95"/>
        <v>-32000000</v>
      </c>
      <c r="P165" s="132">
        <f t="shared" si="95"/>
        <v>-32000000</v>
      </c>
      <c r="Q165" s="132">
        <f t="shared" si="95"/>
        <v>-32000000</v>
      </c>
    </row>
    <row r="166" spans="1:17" outlineLevel="1" x14ac:dyDescent="0.25">
      <c r="A166" s="129" t="s">
        <v>423</v>
      </c>
      <c r="B166" s="142"/>
      <c r="C166" s="132">
        <f t="shared" ref="C166:Q166" si="96">-C151*Costo_Planta_Unitario</f>
        <v>-28200000</v>
      </c>
      <c r="D166" s="132">
        <f t="shared" si="96"/>
        <v>-39950000</v>
      </c>
      <c r="E166" s="132">
        <f t="shared" si="96"/>
        <v>-47000000</v>
      </c>
      <c r="F166" s="132">
        <f t="shared" si="96"/>
        <v>-47000000</v>
      </c>
      <c r="G166" s="132">
        <f t="shared" si="96"/>
        <v>-47000000</v>
      </c>
      <c r="H166" s="132">
        <f t="shared" si="96"/>
        <v>-47000000</v>
      </c>
      <c r="I166" s="132">
        <f t="shared" si="96"/>
        <v>-47000000</v>
      </c>
      <c r="J166" s="132">
        <f t="shared" si="96"/>
        <v>-47000000</v>
      </c>
      <c r="K166" s="132">
        <f t="shared" si="96"/>
        <v>-47000000</v>
      </c>
      <c r="L166" s="132">
        <f t="shared" si="96"/>
        <v>-47000000</v>
      </c>
      <c r="M166" s="132">
        <f t="shared" si="96"/>
        <v>-47000000</v>
      </c>
      <c r="N166" s="132">
        <f t="shared" si="96"/>
        <v>-47000000</v>
      </c>
      <c r="O166" s="132">
        <f t="shared" si="96"/>
        <v>-47000000</v>
      </c>
      <c r="P166" s="132">
        <f t="shared" si="96"/>
        <v>-47000000</v>
      </c>
      <c r="Q166" s="132">
        <f t="shared" si="96"/>
        <v>-47000000</v>
      </c>
    </row>
    <row r="167" spans="1:17" outlineLevel="1" x14ac:dyDescent="0.25">
      <c r="A167" s="129" t="s">
        <v>259</v>
      </c>
      <c r="B167" s="137"/>
      <c r="C167" s="136">
        <f t="shared" ref="C167:Q167" si="97">Mano_Obra_Fija</f>
        <v>-11000000</v>
      </c>
      <c r="D167" s="136">
        <f t="shared" si="97"/>
        <v>-11000000</v>
      </c>
      <c r="E167" s="136">
        <f t="shared" si="97"/>
        <v>-11000000</v>
      </c>
      <c r="F167" s="136">
        <f t="shared" si="97"/>
        <v>-11000000</v>
      </c>
      <c r="G167" s="136">
        <f t="shared" si="97"/>
        <v>-11000000</v>
      </c>
      <c r="H167" s="136">
        <f t="shared" si="97"/>
        <v>-11000000</v>
      </c>
      <c r="I167" s="136">
        <f t="shared" si="97"/>
        <v>-11000000</v>
      </c>
      <c r="J167" s="136">
        <f t="shared" si="97"/>
        <v>-11000000</v>
      </c>
      <c r="K167" s="136">
        <f t="shared" si="97"/>
        <v>-11000000</v>
      </c>
      <c r="L167" s="136">
        <f t="shared" si="97"/>
        <v>-11000000</v>
      </c>
      <c r="M167" s="136">
        <f t="shared" si="97"/>
        <v>-11000000</v>
      </c>
      <c r="N167" s="136">
        <f t="shared" si="97"/>
        <v>-11000000</v>
      </c>
      <c r="O167" s="136">
        <f t="shared" si="97"/>
        <v>-11000000</v>
      </c>
      <c r="P167" s="136">
        <f t="shared" si="97"/>
        <v>-11000000</v>
      </c>
      <c r="Q167" s="136">
        <f t="shared" si="97"/>
        <v>-11000000</v>
      </c>
    </row>
    <row r="168" spans="1:17" outlineLevel="1" x14ac:dyDescent="0.25">
      <c r="A168" s="129" t="s">
        <v>424</v>
      </c>
      <c r="B168" s="137"/>
      <c r="C168" s="136">
        <f t="shared" ref="C168:Q168" si="98">GA_Fijo</f>
        <v>-45000000</v>
      </c>
      <c r="D168" s="136">
        <f t="shared" si="98"/>
        <v>-45000000</v>
      </c>
      <c r="E168" s="136">
        <f t="shared" si="98"/>
        <v>-45000000</v>
      </c>
      <c r="F168" s="136">
        <f t="shared" si="98"/>
        <v>-45000000</v>
      </c>
      <c r="G168" s="136">
        <f t="shared" si="98"/>
        <v>-45000000</v>
      </c>
      <c r="H168" s="136">
        <f t="shared" si="98"/>
        <v>-45000000</v>
      </c>
      <c r="I168" s="136">
        <f t="shared" si="98"/>
        <v>-45000000</v>
      </c>
      <c r="J168" s="136">
        <f t="shared" si="98"/>
        <v>-45000000</v>
      </c>
      <c r="K168" s="136">
        <f t="shared" si="98"/>
        <v>-45000000</v>
      </c>
      <c r="L168" s="136">
        <f t="shared" si="98"/>
        <v>-45000000</v>
      </c>
      <c r="M168" s="136">
        <f t="shared" si="98"/>
        <v>-45000000</v>
      </c>
      <c r="N168" s="136">
        <f t="shared" si="98"/>
        <v>-45000000</v>
      </c>
      <c r="O168" s="136">
        <f t="shared" si="98"/>
        <v>-45000000</v>
      </c>
      <c r="P168" s="136">
        <f t="shared" si="98"/>
        <v>-45000000</v>
      </c>
      <c r="Q168" s="136">
        <f t="shared" si="98"/>
        <v>-45000000</v>
      </c>
    </row>
    <row r="169" spans="1:17" outlineLevel="1" x14ac:dyDescent="0.25">
      <c r="A169" s="133" t="s">
        <v>533</v>
      </c>
      <c r="B169" s="249"/>
      <c r="C169" s="135">
        <f t="shared" ref="C169:Q169" si="99">(C165+C166+C167+C168)*(1+$F$10)</f>
        <v>-103400000</v>
      </c>
      <c r="D169" s="135">
        <f t="shared" si="99"/>
        <v>-123150000</v>
      </c>
      <c r="E169" s="135">
        <f t="shared" si="99"/>
        <v>-135000000</v>
      </c>
      <c r="F169" s="135">
        <f t="shared" si="99"/>
        <v>-135000000</v>
      </c>
      <c r="G169" s="135">
        <f t="shared" si="99"/>
        <v>-135000000</v>
      </c>
      <c r="H169" s="135">
        <f t="shared" si="99"/>
        <v>-135000000</v>
      </c>
      <c r="I169" s="135">
        <f t="shared" si="99"/>
        <v>-135000000</v>
      </c>
      <c r="J169" s="135">
        <f t="shared" si="99"/>
        <v>-135000000</v>
      </c>
      <c r="K169" s="135">
        <f t="shared" si="99"/>
        <v>-135000000</v>
      </c>
      <c r="L169" s="135">
        <f t="shared" si="99"/>
        <v>-135000000</v>
      </c>
      <c r="M169" s="135">
        <f t="shared" si="99"/>
        <v>-135000000</v>
      </c>
      <c r="N169" s="135">
        <f t="shared" si="99"/>
        <v>-135000000</v>
      </c>
      <c r="O169" s="135">
        <f t="shared" si="99"/>
        <v>-135000000</v>
      </c>
      <c r="P169" s="135">
        <f t="shared" si="99"/>
        <v>-135000000</v>
      </c>
      <c r="Q169" s="135">
        <f t="shared" si="99"/>
        <v>-135000000</v>
      </c>
    </row>
    <row r="170" spans="1:17" outlineLevel="1" x14ac:dyDescent="0.25">
      <c r="A170" s="133" t="s">
        <v>425</v>
      </c>
      <c r="B170" s="249"/>
      <c r="C170" s="135">
        <f t="shared" ref="C170:Q170" si="100">C164+C169</f>
        <v>143395322.81183997</v>
      </c>
      <c r="D170" s="135">
        <f t="shared" si="100"/>
        <v>226476707.31677336</v>
      </c>
      <c r="E170" s="135">
        <f t="shared" si="100"/>
        <v>276325538.01973337</v>
      </c>
      <c r="F170" s="135">
        <f t="shared" si="100"/>
        <v>276325538.01973337</v>
      </c>
      <c r="G170" s="135">
        <f t="shared" si="100"/>
        <v>276325538.01973337</v>
      </c>
      <c r="H170" s="135">
        <f t="shared" si="100"/>
        <v>276325538.01973337</v>
      </c>
      <c r="I170" s="135">
        <f t="shared" si="100"/>
        <v>276325538.01973337</v>
      </c>
      <c r="J170" s="135">
        <f t="shared" si="100"/>
        <v>276325538.01973337</v>
      </c>
      <c r="K170" s="135">
        <f t="shared" si="100"/>
        <v>276325538.01973337</v>
      </c>
      <c r="L170" s="135">
        <f t="shared" si="100"/>
        <v>276325538.01973337</v>
      </c>
      <c r="M170" s="135">
        <f t="shared" si="100"/>
        <v>276325538.01973337</v>
      </c>
      <c r="N170" s="135">
        <f t="shared" si="100"/>
        <v>276325538.01973337</v>
      </c>
      <c r="O170" s="135">
        <f t="shared" si="100"/>
        <v>276325538.01973337</v>
      </c>
      <c r="P170" s="135">
        <f t="shared" si="100"/>
        <v>276325538.01973337</v>
      </c>
      <c r="Q170" s="135">
        <f t="shared" si="100"/>
        <v>276325538.01973337</v>
      </c>
    </row>
    <row r="171" spans="1:17" outlineLevel="1" x14ac:dyDescent="0.25">
      <c r="A171" s="129" t="s">
        <v>426</v>
      </c>
      <c r="B171" s="142">
        <f>$F$19</f>
        <v>-739200000</v>
      </c>
      <c r="C171" s="132">
        <f>0</f>
        <v>0</v>
      </c>
      <c r="D171" s="132">
        <f>0</f>
        <v>0</v>
      </c>
      <c r="E171" s="132">
        <f>0</f>
        <v>0</v>
      </c>
      <c r="F171" s="132">
        <f>0</f>
        <v>0</v>
      </c>
      <c r="G171" s="132">
        <f>0</f>
        <v>0</v>
      </c>
      <c r="H171" s="132">
        <f>0</f>
        <v>0</v>
      </c>
      <c r="I171" s="132">
        <f>0</f>
        <v>0</v>
      </c>
      <c r="J171" s="132">
        <f>0</f>
        <v>0</v>
      </c>
      <c r="K171" s="132">
        <f>0</f>
        <v>0</v>
      </c>
      <c r="L171" s="132">
        <f>0</f>
        <v>0</v>
      </c>
      <c r="M171" s="132">
        <f>0</f>
        <v>0</v>
      </c>
      <c r="N171" s="132">
        <f>0</f>
        <v>0</v>
      </c>
      <c r="O171" s="132">
        <f>0</f>
        <v>0</v>
      </c>
      <c r="P171" s="132">
        <f>0</f>
        <v>0</v>
      </c>
      <c r="Q171" s="132">
        <f>0</f>
        <v>0</v>
      </c>
    </row>
    <row r="172" spans="1:17" outlineLevel="1" x14ac:dyDescent="0.25">
      <c r="A172" s="123" t="s">
        <v>215</v>
      </c>
      <c r="B172" s="126"/>
      <c r="C172" s="128">
        <f t="shared" ref="C172:Q172" si="101">$B$171*(C151/Reservas_Totales)</f>
        <v>-29568000</v>
      </c>
      <c r="D172" s="128">
        <f t="shared" si="101"/>
        <v>-41888000</v>
      </c>
      <c r="E172" s="128">
        <f t="shared" si="101"/>
        <v>-49280000</v>
      </c>
      <c r="F172" s="128">
        <f t="shared" si="101"/>
        <v>-49280000</v>
      </c>
      <c r="G172" s="128">
        <f t="shared" si="101"/>
        <v>-49280000</v>
      </c>
      <c r="H172" s="128">
        <f t="shared" si="101"/>
        <v>-49280000</v>
      </c>
      <c r="I172" s="128">
        <f t="shared" si="101"/>
        <v>-49280000</v>
      </c>
      <c r="J172" s="128">
        <f t="shared" si="101"/>
        <v>-49280000</v>
      </c>
      <c r="K172" s="128">
        <f t="shared" si="101"/>
        <v>-49280000</v>
      </c>
      <c r="L172" s="128">
        <f t="shared" si="101"/>
        <v>-49280000</v>
      </c>
      <c r="M172" s="128">
        <f t="shared" si="101"/>
        <v>-49280000</v>
      </c>
      <c r="N172" s="128">
        <f t="shared" si="101"/>
        <v>-49280000</v>
      </c>
      <c r="O172" s="128">
        <f t="shared" si="101"/>
        <v>-49280000</v>
      </c>
      <c r="P172" s="128">
        <f t="shared" si="101"/>
        <v>-49280000</v>
      </c>
      <c r="Q172" s="128">
        <f t="shared" si="101"/>
        <v>-49280000</v>
      </c>
    </row>
    <row r="173" spans="1:17" outlineLevel="1" x14ac:dyDescent="0.25">
      <c r="A173" s="133" t="s">
        <v>427</v>
      </c>
      <c r="B173" s="249"/>
      <c r="C173" s="135">
        <f t="shared" ref="C173:Q173" si="102">C170+C172</f>
        <v>113827322.81183997</v>
      </c>
      <c r="D173" s="135">
        <f t="shared" si="102"/>
        <v>184588707.31677336</v>
      </c>
      <c r="E173" s="135">
        <f t="shared" si="102"/>
        <v>227045538.01973337</v>
      </c>
      <c r="F173" s="135">
        <f t="shared" si="102"/>
        <v>227045538.01973337</v>
      </c>
      <c r="G173" s="135">
        <f t="shared" si="102"/>
        <v>227045538.01973337</v>
      </c>
      <c r="H173" s="135">
        <f t="shared" si="102"/>
        <v>227045538.01973337</v>
      </c>
      <c r="I173" s="135">
        <f t="shared" si="102"/>
        <v>227045538.01973337</v>
      </c>
      <c r="J173" s="135">
        <f t="shared" si="102"/>
        <v>227045538.01973337</v>
      </c>
      <c r="K173" s="135">
        <f t="shared" si="102"/>
        <v>227045538.01973337</v>
      </c>
      <c r="L173" s="135">
        <f t="shared" si="102"/>
        <v>227045538.01973337</v>
      </c>
      <c r="M173" s="135">
        <f t="shared" si="102"/>
        <v>227045538.01973337</v>
      </c>
      <c r="N173" s="135">
        <f t="shared" si="102"/>
        <v>227045538.01973337</v>
      </c>
      <c r="O173" s="135">
        <f t="shared" si="102"/>
        <v>227045538.01973337</v>
      </c>
      <c r="P173" s="135">
        <f t="shared" si="102"/>
        <v>227045538.01973337</v>
      </c>
      <c r="Q173" s="135">
        <f t="shared" si="102"/>
        <v>227045538.01973337</v>
      </c>
    </row>
    <row r="174" spans="1:17" outlineLevel="1" x14ac:dyDescent="0.25">
      <c r="A174" s="129" t="s">
        <v>428</v>
      </c>
      <c r="B174" s="142"/>
      <c r="C174" s="132">
        <f t="shared" ref="C174:Q174" si="103">-Tasa_Impuesto*MAX(C173,0)</f>
        <v>-39839562.984143987</v>
      </c>
      <c r="D174" s="132">
        <f t="shared" si="103"/>
        <v>-64606047.56087067</v>
      </c>
      <c r="E174" s="132">
        <f t="shared" si="103"/>
        <v>-79465938.30690667</v>
      </c>
      <c r="F174" s="132">
        <f t="shared" si="103"/>
        <v>-79465938.30690667</v>
      </c>
      <c r="G174" s="132">
        <f t="shared" si="103"/>
        <v>-79465938.30690667</v>
      </c>
      <c r="H174" s="132">
        <f t="shared" si="103"/>
        <v>-79465938.30690667</v>
      </c>
      <c r="I174" s="132">
        <f t="shared" si="103"/>
        <v>-79465938.30690667</v>
      </c>
      <c r="J174" s="132">
        <f t="shared" si="103"/>
        <v>-79465938.30690667</v>
      </c>
      <c r="K174" s="132">
        <f t="shared" si="103"/>
        <v>-79465938.30690667</v>
      </c>
      <c r="L174" s="132">
        <f t="shared" si="103"/>
        <v>-79465938.30690667</v>
      </c>
      <c r="M174" s="132">
        <f t="shared" si="103"/>
        <v>-79465938.30690667</v>
      </c>
      <c r="N174" s="132">
        <f t="shared" si="103"/>
        <v>-79465938.30690667</v>
      </c>
      <c r="O174" s="132">
        <f t="shared" si="103"/>
        <v>-79465938.30690667</v>
      </c>
      <c r="P174" s="132">
        <f t="shared" si="103"/>
        <v>-79465938.30690667</v>
      </c>
      <c r="Q174" s="132">
        <f t="shared" si="103"/>
        <v>-79465938.30690667</v>
      </c>
    </row>
    <row r="175" spans="1:17" outlineLevel="1" x14ac:dyDescent="0.25">
      <c r="A175" s="250" t="s">
        <v>429</v>
      </c>
      <c r="B175" s="251"/>
      <c r="C175" s="252">
        <v>0</v>
      </c>
      <c r="D175" s="252">
        <v>0</v>
      </c>
      <c r="E175" s="252">
        <v>0</v>
      </c>
      <c r="F175" s="252">
        <v>0</v>
      </c>
      <c r="G175" s="252">
        <v>0</v>
      </c>
      <c r="H175" s="252">
        <v>0</v>
      </c>
      <c r="I175" s="252">
        <v>0</v>
      </c>
      <c r="J175" s="252">
        <v>0</v>
      </c>
      <c r="K175" s="252">
        <v>0</v>
      </c>
      <c r="L175" s="252">
        <v>0</v>
      </c>
      <c r="M175" s="252">
        <v>0</v>
      </c>
      <c r="N175" s="252">
        <v>0</v>
      </c>
      <c r="O175" s="252">
        <v>0</v>
      </c>
      <c r="P175" s="252">
        <v>0</v>
      </c>
      <c r="Q175" s="252">
        <v>0</v>
      </c>
    </row>
    <row r="176" spans="1:17" outlineLevel="1" x14ac:dyDescent="0.25">
      <c r="A176" s="250" t="s">
        <v>430</v>
      </c>
      <c r="B176" s="251">
        <v>0</v>
      </c>
      <c r="C176" s="252">
        <v>0</v>
      </c>
      <c r="D176" s="252">
        <v>0</v>
      </c>
      <c r="E176" s="252">
        <v>0</v>
      </c>
      <c r="F176" s="252">
        <v>0</v>
      </c>
      <c r="G176" s="252">
        <v>0</v>
      </c>
      <c r="H176" s="252">
        <v>0</v>
      </c>
      <c r="I176" s="252">
        <v>0</v>
      </c>
      <c r="J176" s="252">
        <v>0</v>
      </c>
      <c r="K176" s="252">
        <v>0</v>
      </c>
      <c r="L176" s="252">
        <v>0</v>
      </c>
      <c r="M176" s="252">
        <v>0</v>
      </c>
      <c r="N176" s="252">
        <v>0</v>
      </c>
      <c r="O176" s="252">
        <v>0</v>
      </c>
      <c r="P176" s="252">
        <v>0</v>
      </c>
      <c r="Q176" s="252">
        <f>$F$19*Tasa_Provision_Cierre</f>
        <v>-73920000</v>
      </c>
    </row>
    <row r="177" spans="1:17" outlineLevel="1" x14ac:dyDescent="0.25">
      <c r="A177" s="139" t="s">
        <v>431</v>
      </c>
      <c r="B177" s="253">
        <f>B170+B171+B174+B175+B176</f>
        <v>-739200000</v>
      </c>
      <c r="C177" s="141">
        <f t="shared" ref="C177:Q177" si="104">C170+C174+C175+C176</f>
        <v>103555759.82769598</v>
      </c>
      <c r="D177" s="141">
        <f t="shared" si="104"/>
        <v>161870659.75590268</v>
      </c>
      <c r="E177" s="141">
        <f t="shared" si="104"/>
        <v>196859599.7128267</v>
      </c>
      <c r="F177" s="141">
        <f t="shared" si="104"/>
        <v>196859599.7128267</v>
      </c>
      <c r="G177" s="141">
        <f t="shared" si="104"/>
        <v>196859599.7128267</v>
      </c>
      <c r="H177" s="141">
        <f t="shared" si="104"/>
        <v>196859599.7128267</v>
      </c>
      <c r="I177" s="141">
        <f t="shared" si="104"/>
        <v>196859599.7128267</v>
      </c>
      <c r="J177" s="141">
        <f t="shared" si="104"/>
        <v>196859599.7128267</v>
      </c>
      <c r="K177" s="141">
        <f t="shared" si="104"/>
        <v>196859599.7128267</v>
      </c>
      <c r="L177" s="141">
        <f t="shared" si="104"/>
        <v>196859599.7128267</v>
      </c>
      <c r="M177" s="141">
        <f t="shared" si="104"/>
        <v>196859599.7128267</v>
      </c>
      <c r="N177" s="141">
        <f t="shared" si="104"/>
        <v>196859599.7128267</v>
      </c>
      <c r="O177" s="141">
        <f t="shared" si="104"/>
        <v>196859599.7128267</v>
      </c>
      <c r="P177" s="141">
        <f t="shared" si="104"/>
        <v>196859599.7128267</v>
      </c>
      <c r="Q177" s="141">
        <f t="shared" si="104"/>
        <v>122939599.7128267</v>
      </c>
    </row>
    <row r="178" spans="1:17" outlineLevel="1" x14ac:dyDescent="0.25">
      <c r="A178" s="129" t="s">
        <v>432</v>
      </c>
      <c r="B178" s="142">
        <f>B177</f>
        <v>-739200000</v>
      </c>
      <c r="C178" s="132">
        <f t="shared" ref="C178:Q178" si="105">B178+C177</f>
        <v>-635644240.17230403</v>
      </c>
      <c r="D178" s="132">
        <f t="shared" si="105"/>
        <v>-473773580.41640139</v>
      </c>
      <c r="E178" s="132">
        <f t="shared" si="105"/>
        <v>-276913980.70357466</v>
      </c>
      <c r="F178" s="132">
        <f t="shared" si="105"/>
        <v>-80054380.990747958</v>
      </c>
      <c r="G178" s="132">
        <f t="shared" si="105"/>
        <v>116805218.72207874</v>
      </c>
      <c r="H178" s="132">
        <f t="shared" si="105"/>
        <v>313664818.43490541</v>
      </c>
      <c r="I178" s="132">
        <f t="shared" si="105"/>
        <v>510524418.14773214</v>
      </c>
      <c r="J178" s="132">
        <f t="shared" si="105"/>
        <v>707384017.86055887</v>
      </c>
      <c r="K178" s="132">
        <f t="shared" si="105"/>
        <v>904243617.5733856</v>
      </c>
      <c r="L178" s="132">
        <f t="shared" si="105"/>
        <v>1101103217.2862122</v>
      </c>
      <c r="M178" s="132">
        <f t="shared" si="105"/>
        <v>1297962816.9990389</v>
      </c>
      <c r="N178" s="132">
        <f t="shared" si="105"/>
        <v>1494822416.7118657</v>
      </c>
      <c r="O178" s="132">
        <f t="shared" si="105"/>
        <v>1691682016.4246924</v>
      </c>
      <c r="P178" s="132">
        <f t="shared" si="105"/>
        <v>1888541616.1375191</v>
      </c>
      <c r="Q178" s="132">
        <f t="shared" si="105"/>
        <v>2011481215.8503458</v>
      </c>
    </row>
    <row r="179" spans="1:17" outlineLevel="1" x14ac:dyDescent="0.25">
      <c r="A179" s="139" t="s">
        <v>450</v>
      </c>
      <c r="B179" s="141">
        <f>B177+NPV(WACC,C177:Q177)</f>
        <v>626695754.78034043</v>
      </c>
      <c r="C179" s="109"/>
      <c r="D179" s="109"/>
      <c r="E179" s="109"/>
      <c r="F179" s="109"/>
      <c r="G179" s="109"/>
      <c r="H179" s="109"/>
      <c r="I179" s="109"/>
      <c r="J179" s="109"/>
      <c r="K179" s="109"/>
    </row>
    <row r="180" spans="1:17" outlineLevel="1" x14ac:dyDescent="0.25">
      <c r="A180" s="139" t="s">
        <v>452</v>
      </c>
      <c r="B180" s="204">
        <f>IFERROR(IRR(B177:Q177),"N/A")</f>
        <v>0.22209348404955609</v>
      </c>
      <c r="C180" s="109"/>
      <c r="D180" s="109"/>
      <c r="E180" s="109"/>
      <c r="F180" s="109"/>
      <c r="G180" s="109"/>
      <c r="H180" s="109"/>
      <c r="I180" s="109"/>
      <c r="J180" s="109"/>
      <c r="K180" s="109"/>
    </row>
    <row r="181" spans="1:17" ht="30" outlineLevel="1" x14ac:dyDescent="0.25">
      <c r="A181" s="108" t="s">
        <v>434</v>
      </c>
      <c r="B181" s="132">
        <v>0</v>
      </c>
      <c r="C181" s="132">
        <f t="shared" ref="C181:Q181" si="106">(1-Tasa_Impuesto)*C158</f>
        <v>40157902.870799996</v>
      </c>
      <c r="D181" s="132">
        <f t="shared" si="106"/>
        <v>56890362.400300004</v>
      </c>
      <c r="E181" s="132">
        <f t="shared" si="106"/>
        <v>66929838.118000001</v>
      </c>
      <c r="F181" s="132">
        <f t="shared" si="106"/>
        <v>66929838.118000001</v>
      </c>
      <c r="G181" s="132">
        <f t="shared" si="106"/>
        <v>66929838.118000001</v>
      </c>
      <c r="H181" s="132">
        <f t="shared" si="106"/>
        <v>66929838.118000001</v>
      </c>
      <c r="I181" s="132">
        <f t="shared" si="106"/>
        <v>66929838.118000001</v>
      </c>
      <c r="J181" s="132">
        <f t="shared" si="106"/>
        <v>66929838.118000001</v>
      </c>
      <c r="K181" s="132">
        <f t="shared" si="106"/>
        <v>66929838.118000001</v>
      </c>
      <c r="L181" s="132">
        <f t="shared" si="106"/>
        <v>66929838.118000001</v>
      </c>
      <c r="M181" s="132">
        <f t="shared" si="106"/>
        <v>66929838.118000001</v>
      </c>
      <c r="N181" s="132">
        <f t="shared" si="106"/>
        <v>66929838.118000001</v>
      </c>
      <c r="O181" s="132">
        <f t="shared" si="106"/>
        <v>66929838.118000001</v>
      </c>
      <c r="P181" s="132">
        <f t="shared" si="106"/>
        <v>66929838.118000001</v>
      </c>
      <c r="Q181" s="132">
        <f t="shared" si="106"/>
        <v>66929838.118000001</v>
      </c>
    </row>
    <row r="182" spans="1:17" outlineLevel="1" x14ac:dyDescent="0.25">
      <c r="A182" s="108" t="s">
        <v>435</v>
      </c>
      <c r="B182" s="132">
        <v>0</v>
      </c>
      <c r="C182" s="132">
        <f t="shared" ref="C182:Q182" si="107">(1-Tasa_Impuesto)*(C162+C163+C169)-Tasa_Impuesto*C172+C176</f>
        <v>-65107432.229663998</v>
      </c>
      <c r="D182" s="132">
        <f t="shared" si="107"/>
        <v>-77068862.325357333</v>
      </c>
      <c r="E182" s="132">
        <f t="shared" si="107"/>
        <v>-84245720.38277334</v>
      </c>
      <c r="F182" s="132">
        <f t="shared" si="107"/>
        <v>-84245720.38277334</v>
      </c>
      <c r="G182" s="132">
        <f t="shared" si="107"/>
        <v>-84245720.38277334</v>
      </c>
      <c r="H182" s="132">
        <f t="shared" si="107"/>
        <v>-84245720.38277334</v>
      </c>
      <c r="I182" s="132">
        <f t="shared" si="107"/>
        <v>-84245720.38277334</v>
      </c>
      <c r="J182" s="132">
        <f t="shared" si="107"/>
        <v>-84245720.38277334</v>
      </c>
      <c r="K182" s="132">
        <f t="shared" si="107"/>
        <v>-84245720.38277334</v>
      </c>
      <c r="L182" s="132">
        <f t="shared" si="107"/>
        <v>-84245720.38277334</v>
      </c>
      <c r="M182" s="132">
        <f t="shared" si="107"/>
        <v>-84245720.38277334</v>
      </c>
      <c r="N182" s="132">
        <f t="shared" si="107"/>
        <v>-84245720.38277334</v>
      </c>
      <c r="O182" s="132">
        <f t="shared" si="107"/>
        <v>-84245720.38277334</v>
      </c>
      <c r="P182" s="132">
        <f t="shared" si="107"/>
        <v>-84245720.38277334</v>
      </c>
      <c r="Q182" s="132">
        <f t="shared" si="107"/>
        <v>-158165720.38277334</v>
      </c>
    </row>
    <row r="183" spans="1:17" outlineLevel="1" x14ac:dyDescent="0.25">
      <c r="A183" s="108"/>
      <c r="B183" s="109"/>
      <c r="C183" s="254" t="s">
        <v>200</v>
      </c>
      <c r="D183" s="254" t="s">
        <v>534</v>
      </c>
      <c r="E183" s="254" t="s">
        <v>535</v>
      </c>
      <c r="F183" s="109"/>
      <c r="G183" s="109"/>
      <c r="H183" s="109"/>
      <c r="I183" s="109"/>
      <c r="J183" s="109"/>
      <c r="K183" s="109"/>
      <c r="L183"/>
      <c r="M183"/>
      <c r="N183"/>
      <c r="O183"/>
      <c r="P183"/>
      <c r="Q183"/>
    </row>
    <row r="184" spans="1:17" x14ac:dyDescent="0.25">
      <c r="A184" s="3" t="s">
        <v>436</v>
      </c>
      <c r="B184" s="109"/>
      <c r="C184" s="131">
        <f>SUM(C151:Q151)</f>
        <v>144500000</v>
      </c>
      <c r="D184" s="144">
        <f>Reservas_Totales</f>
        <v>150000000</v>
      </c>
      <c r="E184" s="131">
        <f>C182-D182</f>
        <v>11961430.095693335</v>
      </c>
      <c r="F184" s="109"/>
      <c r="G184" s="109"/>
      <c r="H184" s="109"/>
      <c r="I184" s="109"/>
      <c r="J184" s="109"/>
      <c r="K184" s="109"/>
      <c r="L184"/>
      <c r="M184"/>
      <c r="N184"/>
      <c r="O184"/>
      <c r="P184"/>
      <c r="Q184"/>
    </row>
    <row r="185" spans="1:17" x14ac:dyDescent="0.25">
      <c r="A185" s="108"/>
      <c r="B185" s="109"/>
      <c r="C185" s="109"/>
      <c r="D185" s="109"/>
      <c r="E185" s="109"/>
      <c r="F185" s="109"/>
      <c r="G185" s="109"/>
      <c r="H185" s="109"/>
      <c r="I185" s="109"/>
      <c r="J185" s="109"/>
      <c r="K185" s="109"/>
    </row>
    <row r="186" spans="1:17" x14ac:dyDescent="0.25">
      <c r="A186" s="108"/>
      <c r="B186" s="109"/>
      <c r="C186" s="109"/>
      <c r="D186" s="109"/>
      <c r="E186" s="109"/>
      <c r="F186" s="109"/>
      <c r="G186" s="109"/>
      <c r="H186" s="109"/>
      <c r="I186" s="109"/>
      <c r="J186" s="109"/>
      <c r="K186" s="109"/>
    </row>
    <row r="187" spans="1:17" x14ac:dyDescent="0.25">
      <c r="A187" s="108"/>
      <c r="B187" s="109"/>
      <c r="C187" s="109"/>
      <c r="D187" s="109"/>
      <c r="E187" s="109"/>
      <c r="F187" s="109"/>
      <c r="G187" s="109"/>
      <c r="H187" s="109"/>
      <c r="I187" s="109"/>
      <c r="J187" s="109"/>
      <c r="K187" s="109"/>
    </row>
    <row r="188" spans="1:17" x14ac:dyDescent="0.25">
      <c r="A188" s="108"/>
      <c r="B188" s="109"/>
      <c r="C188" s="109"/>
      <c r="D188" s="109"/>
      <c r="E188" s="109"/>
      <c r="F188" s="109"/>
      <c r="G188" s="109"/>
      <c r="H188" s="109"/>
      <c r="I188" s="109"/>
      <c r="J188" s="109"/>
      <c r="K188" s="109"/>
    </row>
    <row r="189" spans="1:17" x14ac:dyDescent="0.25">
      <c r="A189" s="108"/>
      <c r="B189" s="109"/>
      <c r="C189" s="109"/>
      <c r="D189" s="109"/>
      <c r="E189" s="109"/>
      <c r="F189" s="109"/>
      <c r="G189" s="109"/>
      <c r="H189" s="109"/>
      <c r="I189" s="109"/>
      <c r="J189" s="109"/>
      <c r="K189" s="109"/>
    </row>
    <row r="190" spans="1:17" x14ac:dyDescent="0.25">
      <c r="A190" s="108"/>
      <c r="B190" s="109"/>
      <c r="C190" s="109"/>
      <c r="D190" s="109"/>
      <c r="E190" s="109"/>
      <c r="F190" s="109"/>
      <c r="G190" s="109"/>
      <c r="H190" s="109"/>
      <c r="I190" s="109"/>
      <c r="J190" s="109"/>
      <c r="K190" s="109"/>
    </row>
    <row r="191" spans="1:17" x14ac:dyDescent="0.25">
      <c r="A191" s="108"/>
      <c r="B191" s="109"/>
      <c r="C191" s="109"/>
      <c r="D191" s="109"/>
      <c r="E191" s="109"/>
      <c r="F191" s="109"/>
      <c r="G191" s="109"/>
      <c r="H191" s="109"/>
      <c r="I191" s="109"/>
      <c r="J191" s="109"/>
      <c r="K191" s="109"/>
    </row>
    <row r="192" spans="1:17" x14ac:dyDescent="0.25">
      <c r="A192" s="108"/>
      <c r="B192" s="109"/>
      <c r="C192" s="109"/>
      <c r="D192" s="109"/>
      <c r="E192" s="109"/>
      <c r="F192" s="109"/>
      <c r="G192" s="109"/>
      <c r="H192" s="109"/>
      <c r="I192" s="109"/>
      <c r="J192" s="109"/>
      <c r="K192" s="109"/>
    </row>
    <row r="193" spans="1:11" x14ac:dyDescent="0.25">
      <c r="A193" s="108"/>
      <c r="B193" s="109"/>
      <c r="C193" s="109"/>
      <c r="D193" s="109"/>
      <c r="E193" s="109"/>
      <c r="F193" s="109"/>
      <c r="G193" s="109"/>
      <c r="H193" s="109"/>
      <c r="I193" s="109"/>
      <c r="J193" s="109"/>
      <c r="K193" s="109"/>
    </row>
    <row r="194" spans="1:11" x14ac:dyDescent="0.25">
      <c r="A194" s="108"/>
      <c r="B194" s="109"/>
      <c r="C194" s="109"/>
      <c r="D194" s="109"/>
      <c r="E194" s="109"/>
      <c r="F194" s="109"/>
      <c r="G194" s="109"/>
      <c r="H194" s="109"/>
      <c r="I194" s="109"/>
      <c r="J194" s="109"/>
      <c r="K194" s="109"/>
    </row>
    <row r="195" spans="1:11" x14ac:dyDescent="0.25">
      <c r="A195" s="108"/>
      <c r="B195" s="109"/>
      <c r="C195" s="109"/>
      <c r="D195" s="109"/>
      <c r="E195" s="109"/>
      <c r="F195" s="109"/>
      <c r="G195" s="109"/>
      <c r="H195" s="109"/>
      <c r="I195" s="109"/>
      <c r="J195" s="109"/>
      <c r="K195" s="109"/>
    </row>
    <row r="196" spans="1:11" x14ac:dyDescent="0.25">
      <c r="A196" s="108"/>
      <c r="B196" s="109"/>
      <c r="C196" s="109"/>
      <c r="D196" s="109"/>
      <c r="E196" s="109"/>
      <c r="F196" s="109"/>
      <c r="G196" s="109"/>
      <c r="H196" s="109"/>
      <c r="I196" s="109"/>
      <c r="J196" s="109"/>
      <c r="K196" s="109"/>
    </row>
    <row r="197" spans="1:11" x14ac:dyDescent="0.25">
      <c r="A197" s="108"/>
      <c r="B197" s="109"/>
      <c r="C197" s="109"/>
      <c r="D197" s="109"/>
      <c r="E197" s="109"/>
      <c r="F197" s="109"/>
      <c r="G197" s="109"/>
      <c r="H197" s="109"/>
      <c r="I197" s="109"/>
      <c r="J197" s="109"/>
      <c r="K197" s="109"/>
    </row>
    <row r="198" spans="1:11" x14ac:dyDescent="0.25">
      <c r="A198" s="108"/>
      <c r="B198" s="109"/>
      <c r="C198" s="109"/>
      <c r="D198" s="109"/>
      <c r="E198" s="109"/>
      <c r="F198" s="109"/>
      <c r="G198" s="109"/>
      <c r="H198" s="109"/>
      <c r="I198" s="109"/>
      <c r="J198" s="109"/>
      <c r="K198" s="109"/>
    </row>
    <row r="199" spans="1:11" x14ac:dyDescent="0.25">
      <c r="A199" s="108"/>
      <c r="B199" s="109"/>
      <c r="C199" s="109"/>
      <c r="D199" s="109"/>
      <c r="E199" s="109"/>
      <c r="F199" s="109"/>
      <c r="G199" s="109"/>
      <c r="H199" s="109"/>
      <c r="I199" s="109"/>
      <c r="J199" s="109"/>
      <c r="K199" s="109"/>
    </row>
    <row r="200" spans="1:11" x14ac:dyDescent="0.25">
      <c r="A200" s="108"/>
      <c r="B200" s="109"/>
      <c r="C200" s="109"/>
      <c r="D200" s="109"/>
      <c r="E200" s="109"/>
      <c r="F200" s="109"/>
      <c r="G200" s="109"/>
      <c r="H200" s="109"/>
      <c r="I200" s="109"/>
      <c r="J200" s="109"/>
      <c r="K200" s="109"/>
    </row>
    <row r="201" spans="1:11" x14ac:dyDescent="0.25">
      <c r="A201" s="108"/>
      <c r="B201" s="109"/>
      <c r="C201" s="109"/>
      <c r="D201" s="109"/>
      <c r="E201" s="109"/>
      <c r="F201" s="109"/>
      <c r="G201" s="109"/>
      <c r="H201" s="109"/>
      <c r="I201" s="109"/>
      <c r="J201" s="109"/>
      <c r="K201" s="109"/>
    </row>
    <row r="202" spans="1:11" x14ac:dyDescent="0.25">
      <c r="A202" s="108"/>
      <c r="B202" s="109"/>
      <c r="C202" s="109"/>
      <c r="D202" s="109"/>
      <c r="E202" s="109"/>
      <c r="F202" s="109"/>
      <c r="G202" s="109"/>
      <c r="H202" s="109"/>
      <c r="I202" s="109"/>
      <c r="J202" s="109"/>
      <c r="K202" s="109"/>
    </row>
    <row r="203" spans="1:11" x14ac:dyDescent="0.25">
      <c r="A203" s="108"/>
      <c r="B203" s="109"/>
      <c r="C203" s="109"/>
      <c r="D203" s="109"/>
      <c r="E203" s="109"/>
      <c r="F203" s="109"/>
      <c r="G203" s="109"/>
      <c r="H203" s="109"/>
      <c r="I203" s="109"/>
      <c r="J203" s="109"/>
      <c r="K203" s="109"/>
    </row>
    <row r="204" spans="1:11" x14ac:dyDescent="0.25">
      <c r="A204" s="108"/>
      <c r="B204" s="109"/>
      <c r="C204" s="109"/>
      <c r="D204" s="109"/>
      <c r="E204" s="109"/>
      <c r="F204" s="109"/>
      <c r="G204" s="109"/>
      <c r="H204" s="109"/>
      <c r="I204" s="109"/>
      <c r="J204" s="109"/>
      <c r="K204" s="109"/>
    </row>
    <row r="205" spans="1:11" x14ac:dyDescent="0.25">
      <c r="A205" s="108"/>
      <c r="B205" s="109"/>
      <c r="C205" s="109"/>
      <c r="D205" s="109"/>
      <c r="E205" s="109"/>
      <c r="F205" s="109"/>
      <c r="G205" s="109"/>
      <c r="H205" s="109"/>
      <c r="I205" s="109"/>
      <c r="J205" s="109"/>
      <c r="K205" s="109"/>
    </row>
    <row r="206" spans="1:11" x14ac:dyDescent="0.25">
      <c r="A206" s="108"/>
      <c r="B206" s="109"/>
      <c r="C206" s="109"/>
      <c r="D206" s="109"/>
      <c r="E206" s="109"/>
      <c r="F206" s="109"/>
      <c r="G206" s="109"/>
      <c r="H206" s="109"/>
      <c r="I206" s="109"/>
      <c r="J206" s="109"/>
      <c r="K206" s="109"/>
    </row>
    <row r="207" spans="1:11" x14ac:dyDescent="0.25">
      <c r="A207" s="108"/>
      <c r="B207" s="109"/>
      <c r="C207" s="109"/>
      <c r="D207" s="109"/>
      <c r="E207" s="109"/>
      <c r="F207" s="109"/>
      <c r="G207" s="109"/>
      <c r="H207" s="109"/>
      <c r="I207" s="109"/>
      <c r="J207" s="109"/>
      <c r="K207" s="109"/>
    </row>
    <row r="208" spans="1:11" x14ac:dyDescent="0.25">
      <c r="A208" s="108"/>
      <c r="B208" s="109"/>
      <c r="C208" s="109"/>
      <c r="D208" s="109"/>
      <c r="E208" s="109"/>
      <c r="F208" s="109"/>
      <c r="G208" s="109"/>
      <c r="H208" s="109"/>
      <c r="I208" s="109"/>
      <c r="J208" s="109"/>
      <c r="K208" s="109"/>
    </row>
    <row r="209" spans="1:11" x14ac:dyDescent="0.25">
      <c r="A209" s="108"/>
      <c r="B209" s="109"/>
      <c r="C209" s="109"/>
      <c r="D209" s="109"/>
      <c r="E209" s="109"/>
      <c r="F209" s="109"/>
      <c r="G209" s="109"/>
      <c r="H209" s="109"/>
      <c r="I209" s="109"/>
      <c r="J209" s="109"/>
      <c r="K209" s="109"/>
    </row>
    <row r="210" spans="1:11" x14ac:dyDescent="0.25">
      <c r="A210" s="108"/>
      <c r="B210" s="109"/>
      <c r="C210" s="109"/>
      <c r="D210" s="109"/>
      <c r="E210" s="109"/>
      <c r="F210" s="109"/>
      <c r="G210" s="109"/>
      <c r="H210" s="109"/>
      <c r="I210" s="109"/>
      <c r="J210" s="109"/>
      <c r="K210" s="109"/>
    </row>
    <row r="211" spans="1:11" x14ac:dyDescent="0.25">
      <c r="A211" s="108"/>
      <c r="B211" s="109"/>
      <c r="C211" s="109"/>
      <c r="D211" s="109"/>
      <c r="E211" s="109"/>
      <c r="F211" s="109"/>
      <c r="G211" s="109"/>
      <c r="H211" s="109"/>
      <c r="I211" s="109"/>
      <c r="J211" s="109"/>
      <c r="K211" s="109"/>
    </row>
    <row r="212" spans="1:11" x14ac:dyDescent="0.25">
      <c r="A212" s="108"/>
      <c r="B212" s="109"/>
      <c r="C212" s="109"/>
      <c r="D212" s="109"/>
      <c r="E212" s="109"/>
      <c r="F212" s="109"/>
      <c r="G212" s="109"/>
      <c r="H212" s="109"/>
      <c r="I212" s="109"/>
      <c r="J212" s="109"/>
      <c r="K212" s="109"/>
    </row>
    <row r="213" spans="1:11" x14ac:dyDescent="0.25">
      <c r="A213" s="108"/>
      <c r="B213" s="109"/>
      <c r="C213" s="109"/>
      <c r="D213" s="109"/>
      <c r="E213" s="109"/>
      <c r="F213" s="109"/>
      <c r="G213" s="109"/>
      <c r="H213" s="109"/>
      <c r="I213" s="109"/>
      <c r="J213" s="109"/>
      <c r="K213" s="109"/>
    </row>
    <row r="214" spans="1:11" x14ac:dyDescent="0.25">
      <c r="A214" s="108"/>
      <c r="B214" s="109"/>
      <c r="C214" s="109"/>
      <c r="D214" s="109"/>
      <c r="E214" s="109"/>
      <c r="F214" s="109"/>
      <c r="G214" s="109"/>
      <c r="H214" s="109"/>
      <c r="I214" s="109"/>
      <c r="J214" s="109"/>
      <c r="K214" s="109"/>
    </row>
    <row r="215" spans="1:11" x14ac:dyDescent="0.25">
      <c r="A215" s="108"/>
      <c r="B215" s="109"/>
      <c r="C215" s="109"/>
      <c r="D215" s="109"/>
      <c r="E215" s="109"/>
      <c r="F215" s="109"/>
      <c r="G215" s="109"/>
      <c r="H215" s="109"/>
      <c r="I215" s="109"/>
      <c r="J215" s="109"/>
      <c r="K215" s="109"/>
    </row>
    <row r="216" spans="1:11" x14ac:dyDescent="0.25">
      <c r="A216" s="108"/>
      <c r="B216" s="109"/>
      <c r="C216" s="109"/>
      <c r="D216" s="109"/>
      <c r="E216" s="109"/>
      <c r="F216" s="109"/>
      <c r="G216" s="109"/>
      <c r="H216" s="109"/>
      <c r="I216" s="109"/>
      <c r="J216" s="109"/>
      <c r="K216" s="109"/>
    </row>
    <row r="217" spans="1:11" x14ac:dyDescent="0.25">
      <c r="A217" s="108"/>
      <c r="B217" s="109"/>
      <c r="C217" s="109"/>
      <c r="D217" s="109"/>
      <c r="E217" s="109"/>
      <c r="F217" s="109"/>
      <c r="G217" s="109"/>
      <c r="H217" s="109"/>
      <c r="I217" s="109"/>
      <c r="J217" s="109"/>
      <c r="K217" s="109"/>
    </row>
    <row r="218" spans="1:11" x14ac:dyDescent="0.25">
      <c r="A218" s="108"/>
      <c r="B218" s="109"/>
      <c r="C218" s="109"/>
      <c r="D218" s="109"/>
      <c r="E218" s="109"/>
      <c r="F218" s="109"/>
      <c r="G218" s="109"/>
      <c r="H218" s="109"/>
      <c r="I218" s="109"/>
      <c r="J218" s="109"/>
      <c r="K218" s="109"/>
    </row>
    <row r="219" spans="1:11" x14ac:dyDescent="0.25">
      <c r="A219" s="108"/>
      <c r="B219" s="109"/>
      <c r="C219" s="109"/>
      <c r="D219" s="109"/>
      <c r="E219" s="109"/>
      <c r="F219" s="109"/>
      <c r="G219" s="109"/>
      <c r="H219" s="109"/>
      <c r="I219" s="109"/>
      <c r="J219" s="109"/>
      <c r="K219" s="109"/>
    </row>
    <row r="220" spans="1:11" x14ac:dyDescent="0.25">
      <c r="A220" s="108"/>
      <c r="B220" s="109"/>
      <c r="C220" s="109"/>
      <c r="D220" s="109"/>
      <c r="E220" s="109"/>
      <c r="F220" s="109"/>
      <c r="G220" s="109"/>
      <c r="H220" s="109"/>
      <c r="I220" s="109"/>
      <c r="J220" s="109"/>
      <c r="K220" s="109"/>
    </row>
    <row r="221" spans="1:11" x14ac:dyDescent="0.25">
      <c r="A221" s="108"/>
      <c r="B221" s="109"/>
      <c r="C221" s="109"/>
      <c r="D221" s="109"/>
      <c r="E221" s="109"/>
      <c r="F221" s="109"/>
      <c r="G221" s="109"/>
      <c r="H221" s="109"/>
      <c r="I221" s="109"/>
      <c r="J221" s="109"/>
      <c r="K221" s="109"/>
    </row>
    <row r="222" spans="1:11" x14ac:dyDescent="0.25">
      <c r="A222" s="108"/>
      <c r="B222" s="109"/>
      <c r="C222" s="109"/>
      <c r="D222" s="109"/>
      <c r="E222" s="109"/>
      <c r="F222" s="109"/>
      <c r="G222" s="109"/>
      <c r="H222" s="109"/>
      <c r="I222" s="109"/>
      <c r="J222" s="109"/>
      <c r="K222" s="109"/>
    </row>
    <row r="223" spans="1:11" x14ac:dyDescent="0.25">
      <c r="A223" s="108"/>
      <c r="B223" s="109"/>
      <c r="C223" s="109"/>
      <c r="D223" s="109"/>
      <c r="E223" s="109"/>
      <c r="F223" s="109"/>
      <c r="G223" s="109"/>
      <c r="H223" s="109"/>
      <c r="I223" s="109"/>
      <c r="J223" s="109"/>
      <c r="K223" s="109"/>
    </row>
    <row r="224" spans="1:11" x14ac:dyDescent="0.25">
      <c r="A224" s="108"/>
      <c r="B224" s="109"/>
      <c r="C224" s="109"/>
      <c r="D224" s="109"/>
      <c r="E224" s="109"/>
      <c r="F224" s="109"/>
      <c r="G224" s="109"/>
      <c r="H224" s="109"/>
      <c r="I224" s="109"/>
      <c r="J224" s="109"/>
      <c r="K224" s="109"/>
    </row>
    <row r="225" spans="1:11" x14ac:dyDescent="0.25">
      <c r="A225" s="108"/>
      <c r="B225" s="109"/>
      <c r="C225" s="109"/>
      <c r="D225" s="109"/>
      <c r="E225" s="109"/>
      <c r="F225" s="109"/>
      <c r="G225" s="109"/>
      <c r="H225" s="109"/>
      <c r="I225" s="109"/>
      <c r="J225" s="109"/>
      <c r="K225" s="109"/>
    </row>
    <row r="226" spans="1:11" x14ac:dyDescent="0.25">
      <c r="A226" s="108"/>
      <c r="B226" s="109"/>
      <c r="C226" s="109"/>
      <c r="D226" s="109"/>
      <c r="E226" s="109"/>
      <c r="F226" s="109"/>
      <c r="G226" s="109"/>
      <c r="H226" s="109"/>
      <c r="I226" s="109"/>
      <c r="J226" s="109"/>
      <c r="K226" s="109"/>
    </row>
    <row r="227" spans="1:11" x14ac:dyDescent="0.25">
      <c r="A227" s="108"/>
      <c r="B227" s="109"/>
      <c r="C227" s="109"/>
      <c r="D227" s="109"/>
      <c r="E227" s="109"/>
      <c r="F227" s="109"/>
      <c r="G227" s="109"/>
      <c r="H227" s="109"/>
      <c r="I227" s="109"/>
      <c r="J227" s="109"/>
      <c r="K227" s="109"/>
    </row>
    <row r="228" spans="1:11" x14ac:dyDescent="0.25">
      <c r="A228" s="108"/>
      <c r="B228" s="109"/>
      <c r="C228" s="109"/>
      <c r="D228" s="109"/>
      <c r="E228" s="109"/>
      <c r="F228" s="109"/>
      <c r="G228" s="109"/>
      <c r="H228" s="109"/>
      <c r="I228" s="109"/>
      <c r="J228" s="109"/>
      <c r="K228" s="109"/>
    </row>
    <row r="229" spans="1:11" x14ac:dyDescent="0.25">
      <c r="A229" s="108"/>
      <c r="B229" s="109"/>
      <c r="C229" s="109"/>
      <c r="D229" s="109"/>
      <c r="E229" s="109"/>
      <c r="F229" s="109"/>
      <c r="G229" s="109"/>
      <c r="H229" s="109"/>
      <c r="I229" s="109"/>
      <c r="J229" s="109"/>
      <c r="K229" s="109"/>
    </row>
    <row r="230" spans="1:11" x14ac:dyDescent="0.25">
      <c r="A230" s="108"/>
      <c r="B230" s="109"/>
      <c r="C230" s="109"/>
      <c r="D230" s="109"/>
      <c r="E230" s="109"/>
      <c r="F230" s="109"/>
      <c r="G230" s="109"/>
      <c r="H230" s="109"/>
      <c r="I230" s="109"/>
      <c r="J230" s="109"/>
      <c r="K230" s="109"/>
    </row>
    <row r="231" spans="1:11" x14ac:dyDescent="0.25">
      <c r="A231" s="108"/>
      <c r="B231" s="109"/>
      <c r="C231" s="109"/>
      <c r="D231" s="109"/>
      <c r="E231" s="109"/>
      <c r="F231" s="109"/>
      <c r="G231" s="109"/>
      <c r="H231" s="109"/>
      <c r="I231" s="109"/>
      <c r="J231" s="109"/>
      <c r="K231" s="109"/>
    </row>
    <row r="232" spans="1:11" x14ac:dyDescent="0.25">
      <c r="A232" s="108"/>
      <c r="B232" s="109"/>
      <c r="C232" s="109"/>
      <c r="D232" s="109"/>
      <c r="E232" s="109"/>
      <c r="F232" s="109"/>
      <c r="G232" s="109"/>
      <c r="H232" s="109"/>
      <c r="I232" s="109"/>
      <c r="J232" s="109"/>
      <c r="K232" s="109"/>
    </row>
    <row r="233" spans="1:11" x14ac:dyDescent="0.25">
      <c r="A233" s="108"/>
      <c r="B233" s="109"/>
      <c r="C233" s="109"/>
      <c r="D233" s="109"/>
      <c r="E233" s="109"/>
      <c r="F233" s="109"/>
      <c r="G233" s="109"/>
      <c r="H233" s="109"/>
      <c r="I233" s="109"/>
      <c r="J233" s="109"/>
      <c r="K233" s="109"/>
    </row>
    <row r="234" spans="1:11" x14ac:dyDescent="0.25">
      <c r="A234" s="108"/>
      <c r="B234" s="109"/>
      <c r="C234" s="109"/>
      <c r="D234" s="109"/>
      <c r="E234" s="109"/>
      <c r="F234" s="109"/>
      <c r="G234" s="109"/>
      <c r="H234" s="109"/>
      <c r="I234" s="109"/>
      <c r="J234" s="109"/>
      <c r="K234" s="109"/>
    </row>
    <row r="235" spans="1:11" x14ac:dyDescent="0.25">
      <c r="A235" s="108"/>
      <c r="B235" s="109"/>
      <c r="C235" s="109"/>
      <c r="D235" s="109"/>
      <c r="E235" s="109"/>
      <c r="F235" s="109"/>
      <c r="G235" s="109"/>
      <c r="H235" s="109"/>
      <c r="I235" s="109"/>
      <c r="J235" s="109"/>
      <c r="K235" s="109"/>
    </row>
    <row r="236" spans="1:11" x14ac:dyDescent="0.25">
      <c r="A236" s="108"/>
      <c r="B236" s="109"/>
      <c r="C236" s="109"/>
      <c r="D236" s="109"/>
      <c r="E236" s="109"/>
      <c r="F236" s="109"/>
      <c r="G236" s="109"/>
      <c r="H236" s="109"/>
      <c r="I236" s="109"/>
      <c r="J236" s="109"/>
      <c r="K236" s="109"/>
    </row>
    <row r="237" spans="1:11" x14ac:dyDescent="0.25">
      <c r="A237" s="108"/>
      <c r="B237" s="109"/>
      <c r="C237" s="109"/>
      <c r="D237" s="109"/>
      <c r="E237" s="109"/>
      <c r="F237" s="109"/>
      <c r="G237" s="109"/>
      <c r="H237" s="109"/>
      <c r="I237" s="109"/>
      <c r="J237" s="109"/>
      <c r="K237" s="109"/>
    </row>
    <row r="238" spans="1:11" x14ac:dyDescent="0.25">
      <c r="A238" s="108"/>
      <c r="B238" s="109"/>
      <c r="C238" s="109"/>
      <c r="D238" s="109"/>
      <c r="E238" s="109"/>
      <c r="F238" s="109"/>
      <c r="G238" s="109"/>
      <c r="H238" s="109"/>
      <c r="I238" s="109"/>
      <c r="J238" s="109"/>
      <c r="K238" s="109"/>
    </row>
    <row r="239" spans="1:11" x14ac:dyDescent="0.25">
      <c r="A239" s="108"/>
      <c r="B239" s="109"/>
      <c r="C239" s="109"/>
      <c r="D239" s="109"/>
      <c r="E239" s="109"/>
      <c r="F239" s="109"/>
      <c r="G239" s="109"/>
      <c r="H239" s="109"/>
      <c r="I239" s="109"/>
      <c r="J239" s="109"/>
      <c r="K239" s="109"/>
    </row>
    <row r="240" spans="1:11" x14ac:dyDescent="0.25">
      <c r="A240" s="108"/>
      <c r="B240" s="109"/>
      <c r="C240" s="109"/>
      <c r="D240" s="109"/>
      <c r="E240" s="109"/>
      <c r="F240" s="109"/>
      <c r="G240" s="109"/>
      <c r="H240" s="109"/>
      <c r="I240" s="109"/>
      <c r="J240" s="109"/>
      <c r="K240" s="109"/>
    </row>
    <row r="241" spans="1:11" x14ac:dyDescent="0.25">
      <c r="A241" s="108"/>
      <c r="B241" s="109"/>
      <c r="C241" s="109"/>
      <c r="D241" s="109"/>
      <c r="E241" s="109"/>
      <c r="F241" s="109"/>
      <c r="G241" s="109"/>
      <c r="H241" s="109"/>
      <c r="I241" s="109"/>
      <c r="J241" s="109"/>
      <c r="K241" s="109"/>
    </row>
    <row r="242" spans="1:11" x14ac:dyDescent="0.25">
      <c r="A242" s="108"/>
      <c r="B242" s="109"/>
      <c r="C242" s="109"/>
      <c r="D242" s="109"/>
      <c r="E242" s="109"/>
      <c r="F242" s="109"/>
      <c r="G242" s="109"/>
      <c r="H242" s="109"/>
      <c r="I242" s="109"/>
      <c r="J242" s="109"/>
      <c r="K242" s="109"/>
    </row>
    <row r="243" spans="1:11" x14ac:dyDescent="0.25">
      <c r="A243" s="108"/>
      <c r="B243" s="109"/>
      <c r="C243" s="109"/>
      <c r="D243" s="109"/>
      <c r="E243" s="109"/>
      <c r="F243" s="109"/>
      <c r="G243" s="109"/>
      <c r="H243" s="109"/>
      <c r="I243" s="109"/>
      <c r="J243" s="109"/>
      <c r="K243" s="109"/>
    </row>
    <row r="244" spans="1:11" x14ac:dyDescent="0.25">
      <c r="A244" s="108"/>
      <c r="B244" s="109"/>
      <c r="C244" s="109"/>
      <c r="D244" s="109"/>
      <c r="E244" s="109"/>
      <c r="F244" s="109"/>
      <c r="G244" s="109"/>
      <c r="H244" s="109"/>
      <c r="I244" s="109"/>
      <c r="J244" s="109"/>
      <c r="K244" s="109"/>
    </row>
    <row r="245" spans="1:11" x14ac:dyDescent="0.25">
      <c r="A245" s="108"/>
      <c r="B245" s="109"/>
      <c r="C245" s="109"/>
      <c r="D245" s="109"/>
      <c r="E245" s="109"/>
      <c r="F245" s="109"/>
      <c r="G245" s="109"/>
      <c r="H245" s="109"/>
      <c r="I245" s="109"/>
      <c r="J245" s="109"/>
      <c r="K245" s="109"/>
    </row>
    <row r="246" spans="1:11" x14ac:dyDescent="0.25">
      <c r="A246" s="108"/>
      <c r="B246" s="109"/>
      <c r="C246" s="109"/>
      <c r="D246" s="109"/>
      <c r="E246" s="109"/>
      <c r="F246" s="109"/>
      <c r="G246" s="109"/>
      <c r="H246" s="109"/>
      <c r="I246" s="109"/>
      <c r="J246" s="109"/>
      <c r="K246" s="109"/>
    </row>
    <row r="247" spans="1:11" x14ac:dyDescent="0.25">
      <c r="A247" s="108"/>
      <c r="B247" s="109"/>
      <c r="C247" s="109"/>
      <c r="D247" s="109"/>
      <c r="E247" s="109"/>
      <c r="F247" s="109"/>
      <c r="G247" s="109"/>
      <c r="H247" s="109"/>
      <c r="I247" s="109"/>
      <c r="J247" s="109"/>
      <c r="K247" s="109"/>
    </row>
    <row r="248" spans="1:11" x14ac:dyDescent="0.25">
      <c r="A248" s="108"/>
      <c r="B248" s="109"/>
      <c r="C248" s="109"/>
      <c r="D248" s="109"/>
      <c r="E248" s="109"/>
      <c r="F248" s="109"/>
      <c r="G248" s="109"/>
      <c r="H248" s="109"/>
      <c r="I248" s="109"/>
      <c r="J248" s="109"/>
      <c r="K248" s="109"/>
    </row>
    <row r="249" spans="1:11" x14ac:dyDescent="0.25">
      <c r="A249" s="108"/>
      <c r="B249" s="109"/>
      <c r="C249" s="109"/>
      <c r="D249" s="109"/>
      <c r="E249" s="109"/>
      <c r="F249" s="109"/>
      <c r="G249" s="109"/>
      <c r="H249" s="109"/>
      <c r="I249" s="109"/>
      <c r="J249" s="109"/>
      <c r="K249" s="109"/>
    </row>
    <row r="250" spans="1:11" x14ac:dyDescent="0.25">
      <c r="A250" s="108"/>
      <c r="B250" s="109"/>
      <c r="C250" s="109"/>
      <c r="D250" s="109"/>
      <c r="E250" s="109"/>
      <c r="F250" s="109"/>
      <c r="G250" s="109"/>
      <c r="H250" s="109"/>
      <c r="I250" s="109"/>
      <c r="J250" s="109"/>
      <c r="K250" s="109"/>
    </row>
    <row r="251" spans="1:11" x14ac:dyDescent="0.25">
      <c r="A251" s="108"/>
      <c r="B251" s="109"/>
      <c r="C251" s="109"/>
      <c r="D251" s="109"/>
      <c r="E251" s="109"/>
      <c r="F251" s="109"/>
      <c r="G251" s="109"/>
      <c r="H251" s="109"/>
      <c r="I251" s="109"/>
      <c r="J251" s="109"/>
      <c r="K251" s="109"/>
    </row>
    <row r="252" spans="1:11" x14ac:dyDescent="0.25">
      <c r="A252" s="108"/>
      <c r="B252" s="109"/>
      <c r="C252" s="109"/>
      <c r="D252" s="109"/>
      <c r="E252" s="109"/>
      <c r="F252" s="109"/>
      <c r="G252" s="109"/>
      <c r="H252" s="109"/>
      <c r="I252" s="109"/>
      <c r="J252" s="109"/>
      <c r="K252" s="109"/>
    </row>
    <row r="253" spans="1:11" x14ac:dyDescent="0.25">
      <c r="A253" s="108"/>
      <c r="B253" s="109"/>
      <c r="C253" s="109"/>
      <c r="D253" s="109"/>
      <c r="E253" s="109"/>
      <c r="F253" s="109"/>
      <c r="G253" s="109"/>
      <c r="H253" s="109"/>
      <c r="I253" s="109"/>
      <c r="J253" s="109"/>
      <c r="K253" s="109"/>
    </row>
    <row r="254" spans="1:11" x14ac:dyDescent="0.25">
      <c r="A254" s="108"/>
      <c r="B254" s="109"/>
      <c r="C254" s="109"/>
      <c r="D254" s="109"/>
      <c r="E254" s="109"/>
      <c r="F254" s="109"/>
      <c r="G254" s="109"/>
      <c r="H254" s="109"/>
      <c r="I254" s="109"/>
      <c r="J254" s="109"/>
      <c r="K254" s="109"/>
    </row>
    <row r="255" spans="1:11" x14ac:dyDescent="0.25">
      <c r="A255" s="108"/>
      <c r="B255" s="109"/>
      <c r="C255" s="109"/>
      <c r="D255" s="109"/>
      <c r="E255" s="109"/>
      <c r="F255" s="109"/>
      <c r="G255" s="109"/>
      <c r="H255" s="109"/>
      <c r="I255" s="109"/>
      <c r="J255" s="109"/>
      <c r="K255" s="109"/>
    </row>
    <row r="256" spans="1:11" x14ac:dyDescent="0.25">
      <c r="A256" s="108"/>
      <c r="B256" s="109"/>
      <c r="C256" s="109"/>
      <c r="D256" s="109"/>
      <c r="E256" s="109"/>
      <c r="F256" s="109"/>
      <c r="G256" s="109"/>
      <c r="H256" s="109"/>
      <c r="I256" s="109"/>
      <c r="J256" s="109"/>
      <c r="K256" s="109"/>
    </row>
    <row r="257" spans="1:11" x14ac:dyDescent="0.25">
      <c r="A257" s="108"/>
      <c r="B257" s="109"/>
      <c r="C257" s="109"/>
      <c r="D257" s="109"/>
      <c r="E257" s="109"/>
      <c r="F257" s="109"/>
      <c r="G257" s="109"/>
      <c r="H257" s="109"/>
      <c r="I257" s="109"/>
      <c r="J257" s="109"/>
      <c r="K257" s="109"/>
    </row>
    <row r="258" spans="1:11" x14ac:dyDescent="0.25">
      <c r="A258" s="108"/>
      <c r="B258" s="109"/>
      <c r="C258" s="109"/>
      <c r="D258" s="109"/>
      <c r="E258" s="109"/>
      <c r="F258" s="109"/>
      <c r="G258" s="109"/>
      <c r="H258" s="109"/>
      <c r="I258" s="109"/>
      <c r="J258" s="109"/>
      <c r="K258" s="109"/>
    </row>
    <row r="259" spans="1:11" x14ac:dyDescent="0.25">
      <c r="A259" s="108"/>
      <c r="B259" s="109"/>
      <c r="C259" s="109"/>
      <c r="D259" s="109"/>
      <c r="E259" s="109"/>
      <c r="F259" s="109"/>
      <c r="G259" s="109"/>
      <c r="H259" s="109"/>
      <c r="I259" s="109"/>
      <c r="J259" s="109"/>
      <c r="K259" s="109"/>
    </row>
    <row r="260" spans="1:11" x14ac:dyDescent="0.25">
      <c r="A260" s="108"/>
      <c r="B260" s="109"/>
      <c r="C260" s="109"/>
      <c r="D260" s="109"/>
      <c r="E260" s="109"/>
      <c r="F260" s="109"/>
      <c r="G260" s="109"/>
      <c r="H260" s="109"/>
      <c r="I260" s="109"/>
      <c r="J260" s="109"/>
      <c r="K260" s="109"/>
    </row>
    <row r="261" spans="1:11" x14ac:dyDescent="0.25">
      <c r="A261" s="108"/>
      <c r="B261" s="109"/>
      <c r="C261" s="109"/>
      <c r="D261" s="109"/>
      <c r="E261" s="109"/>
      <c r="F261" s="109"/>
      <c r="G261" s="109"/>
      <c r="H261" s="109"/>
      <c r="I261" s="109"/>
      <c r="J261" s="109"/>
      <c r="K261" s="109"/>
    </row>
    <row r="262" spans="1:11" x14ac:dyDescent="0.25">
      <c r="A262" s="108"/>
      <c r="B262" s="109"/>
      <c r="C262" s="109"/>
      <c r="D262" s="109"/>
      <c r="E262" s="109"/>
      <c r="F262" s="109"/>
      <c r="G262" s="109"/>
      <c r="H262" s="109"/>
      <c r="I262" s="109"/>
      <c r="J262" s="109"/>
      <c r="K262" s="109"/>
    </row>
    <row r="263" spans="1:11" x14ac:dyDescent="0.25">
      <c r="A263" s="108"/>
      <c r="B263" s="109"/>
      <c r="C263" s="109"/>
      <c r="D263" s="109"/>
      <c r="E263" s="109"/>
      <c r="F263" s="109"/>
      <c r="G263" s="109"/>
      <c r="H263" s="109"/>
      <c r="I263" s="109"/>
      <c r="J263" s="109"/>
      <c r="K263" s="109"/>
    </row>
    <row r="264" spans="1:11" x14ac:dyDescent="0.25">
      <c r="A264" s="108"/>
      <c r="B264" s="109"/>
      <c r="C264" s="109"/>
      <c r="D264" s="109"/>
      <c r="E264" s="109"/>
      <c r="F264" s="109"/>
      <c r="G264" s="109"/>
      <c r="H264" s="109"/>
      <c r="I264" s="109"/>
      <c r="J264" s="109"/>
      <c r="K264" s="109"/>
    </row>
    <row r="265" spans="1:11" x14ac:dyDescent="0.25">
      <c r="A265" s="108"/>
      <c r="B265" s="109"/>
      <c r="C265" s="109"/>
      <c r="D265" s="109"/>
      <c r="E265" s="109"/>
      <c r="F265" s="109"/>
      <c r="G265" s="109"/>
      <c r="H265" s="109"/>
      <c r="I265" s="109"/>
      <c r="J265" s="109"/>
      <c r="K265" s="109"/>
    </row>
    <row r="266" spans="1:11" x14ac:dyDescent="0.25">
      <c r="A266" s="108"/>
      <c r="B266" s="109"/>
      <c r="C266" s="109"/>
      <c r="D266" s="109"/>
      <c r="E266" s="109"/>
      <c r="F266" s="109"/>
      <c r="G266" s="109"/>
      <c r="H266" s="109"/>
      <c r="I266" s="109"/>
      <c r="J266" s="109"/>
      <c r="K266" s="109"/>
    </row>
    <row r="267" spans="1:11" x14ac:dyDescent="0.25">
      <c r="A267" s="108"/>
      <c r="B267" s="109"/>
      <c r="C267" s="109"/>
      <c r="D267" s="109"/>
      <c r="E267" s="109"/>
      <c r="F267" s="109"/>
      <c r="G267" s="109"/>
      <c r="H267" s="109"/>
      <c r="I267" s="109"/>
      <c r="J267" s="109"/>
      <c r="K267" s="109"/>
    </row>
    <row r="268" spans="1:11" x14ac:dyDescent="0.25">
      <c r="A268" s="108"/>
      <c r="B268" s="109"/>
      <c r="C268" s="109"/>
      <c r="D268" s="109"/>
      <c r="E268" s="109"/>
      <c r="F268" s="109"/>
      <c r="G268" s="109"/>
      <c r="H268" s="109"/>
      <c r="I268" s="109"/>
      <c r="J268" s="109"/>
      <c r="K268" s="109"/>
    </row>
    <row r="269" spans="1:11" x14ac:dyDescent="0.25">
      <c r="A269" s="108"/>
      <c r="B269" s="109"/>
      <c r="C269" s="109"/>
      <c r="D269" s="109"/>
      <c r="E269" s="109"/>
      <c r="F269" s="109"/>
      <c r="G269" s="109"/>
      <c r="H269" s="109"/>
      <c r="I269" s="109"/>
      <c r="J269" s="109"/>
      <c r="K269" s="109"/>
    </row>
    <row r="270" spans="1:11" x14ac:dyDescent="0.25">
      <c r="A270" s="108"/>
      <c r="B270" s="109"/>
      <c r="C270" s="109"/>
      <c r="D270" s="109"/>
      <c r="E270" s="109"/>
      <c r="F270" s="109"/>
      <c r="G270" s="109"/>
      <c r="H270" s="109"/>
      <c r="I270" s="109"/>
      <c r="J270" s="109"/>
      <c r="K270" s="109"/>
    </row>
    <row r="271" spans="1:11" x14ac:dyDescent="0.25">
      <c r="A271" s="108"/>
      <c r="B271" s="109"/>
      <c r="C271" s="109"/>
      <c r="D271" s="109"/>
      <c r="E271" s="109"/>
      <c r="F271" s="109"/>
      <c r="G271" s="109"/>
      <c r="H271" s="109"/>
      <c r="I271" s="109"/>
      <c r="J271" s="109"/>
      <c r="K271" s="109"/>
    </row>
    <row r="272" spans="1:11" x14ac:dyDescent="0.25">
      <c r="A272" s="108"/>
      <c r="B272" s="109"/>
      <c r="C272" s="109"/>
      <c r="D272" s="109"/>
      <c r="E272" s="109"/>
      <c r="F272" s="109"/>
      <c r="G272" s="109"/>
      <c r="H272" s="109"/>
      <c r="I272" s="109"/>
      <c r="J272" s="109"/>
      <c r="K272" s="109"/>
    </row>
    <row r="273" spans="1:11" x14ac:dyDescent="0.25">
      <c r="A273" s="108"/>
      <c r="B273" s="109"/>
      <c r="C273" s="109"/>
      <c r="D273" s="109"/>
      <c r="E273" s="109"/>
      <c r="F273" s="109"/>
      <c r="G273" s="109"/>
      <c r="H273" s="109"/>
      <c r="I273" s="109"/>
      <c r="J273" s="109"/>
      <c r="K273" s="109"/>
    </row>
    <row r="274" spans="1:11" x14ac:dyDescent="0.25">
      <c r="A274" s="108"/>
      <c r="B274" s="109"/>
      <c r="C274" s="109"/>
      <c r="D274" s="109"/>
      <c r="E274" s="109"/>
      <c r="F274" s="109"/>
      <c r="G274" s="109"/>
      <c r="H274" s="109"/>
      <c r="I274" s="109"/>
      <c r="J274" s="109"/>
      <c r="K274" s="109"/>
    </row>
    <row r="275" spans="1:11" x14ac:dyDescent="0.25">
      <c r="A275" s="108"/>
      <c r="B275" s="109"/>
      <c r="C275" s="109"/>
      <c r="D275" s="109"/>
      <c r="E275" s="109"/>
      <c r="F275" s="109"/>
      <c r="G275" s="109"/>
      <c r="H275" s="109"/>
      <c r="I275" s="109"/>
      <c r="J275" s="109"/>
      <c r="K275" s="109"/>
    </row>
    <row r="276" spans="1:11" x14ac:dyDescent="0.25">
      <c r="A276" s="108"/>
      <c r="B276" s="109"/>
      <c r="C276" s="109"/>
      <c r="D276" s="109"/>
      <c r="E276" s="109"/>
      <c r="F276" s="109"/>
      <c r="G276" s="109"/>
      <c r="H276" s="109"/>
      <c r="I276" s="109"/>
      <c r="J276" s="109"/>
      <c r="K276" s="109"/>
    </row>
    <row r="277" spans="1:11" x14ac:dyDescent="0.25">
      <c r="A277" s="108"/>
      <c r="B277" s="109"/>
      <c r="C277" s="109"/>
      <c r="D277" s="109"/>
      <c r="E277" s="109"/>
      <c r="F277" s="109"/>
      <c r="G277" s="109"/>
      <c r="H277" s="109"/>
      <c r="I277" s="109"/>
      <c r="J277" s="109"/>
      <c r="K277" s="109"/>
    </row>
    <row r="278" spans="1:11" x14ac:dyDescent="0.25">
      <c r="A278" s="108"/>
      <c r="B278" s="109"/>
      <c r="C278" s="109"/>
      <c r="D278" s="109"/>
      <c r="E278" s="109"/>
      <c r="F278" s="109"/>
      <c r="G278" s="109"/>
      <c r="H278" s="109"/>
      <c r="I278" s="109"/>
      <c r="J278" s="109"/>
      <c r="K278" s="109"/>
    </row>
    <row r="279" spans="1:11" x14ac:dyDescent="0.25">
      <c r="A279" s="108"/>
      <c r="B279" s="109"/>
      <c r="C279" s="109"/>
      <c r="D279" s="109"/>
      <c r="E279" s="109"/>
      <c r="F279" s="109"/>
      <c r="G279" s="109"/>
      <c r="H279" s="109"/>
      <c r="I279" s="109"/>
      <c r="J279" s="109"/>
      <c r="K279" s="109"/>
    </row>
    <row r="280" spans="1:11" x14ac:dyDescent="0.25">
      <c r="A280" s="108"/>
      <c r="B280" s="109"/>
      <c r="C280" s="109"/>
      <c r="D280" s="109"/>
      <c r="E280" s="109"/>
      <c r="F280" s="109"/>
      <c r="G280" s="109"/>
      <c r="H280" s="109"/>
      <c r="I280" s="109"/>
      <c r="J280" s="109"/>
      <c r="K280" s="109"/>
    </row>
    <row r="281" spans="1:11" x14ac:dyDescent="0.25">
      <c r="A281" s="108"/>
      <c r="B281" s="109"/>
      <c r="C281" s="109"/>
      <c r="D281" s="109"/>
      <c r="E281" s="109"/>
      <c r="F281" s="109"/>
      <c r="G281" s="109"/>
      <c r="H281" s="109"/>
      <c r="I281" s="109"/>
      <c r="J281" s="109"/>
      <c r="K281" s="109"/>
    </row>
    <row r="282" spans="1:11" x14ac:dyDescent="0.25">
      <c r="A282" s="108"/>
      <c r="B282" s="109"/>
      <c r="C282" s="109"/>
      <c r="D282" s="109"/>
      <c r="E282" s="109"/>
      <c r="F282" s="109"/>
      <c r="G282" s="109"/>
      <c r="H282" s="109"/>
      <c r="I282" s="109"/>
      <c r="J282" s="109"/>
      <c r="K282" s="109"/>
    </row>
    <row r="283" spans="1:11" x14ac:dyDescent="0.25">
      <c r="A283" s="108"/>
      <c r="B283" s="109"/>
      <c r="C283" s="109"/>
      <c r="D283" s="109"/>
      <c r="E283" s="109"/>
      <c r="F283" s="109"/>
      <c r="G283" s="109"/>
      <c r="H283" s="109"/>
      <c r="I283" s="109"/>
      <c r="J283" s="109"/>
      <c r="K283" s="109"/>
    </row>
    <row r="284" spans="1:11" x14ac:dyDescent="0.25">
      <c r="A284" s="108"/>
      <c r="B284" s="109"/>
      <c r="C284" s="109"/>
      <c r="D284" s="109"/>
      <c r="E284" s="109"/>
      <c r="F284" s="109"/>
      <c r="G284" s="109"/>
      <c r="H284" s="109"/>
      <c r="I284" s="109"/>
      <c r="J284" s="109"/>
      <c r="K284" s="109"/>
    </row>
    <row r="285" spans="1:11" x14ac:dyDescent="0.25">
      <c r="A285" s="108"/>
      <c r="B285" s="109"/>
      <c r="C285" s="109"/>
      <c r="D285" s="109"/>
      <c r="E285" s="109"/>
      <c r="F285" s="109"/>
      <c r="G285" s="109"/>
      <c r="H285" s="109"/>
      <c r="I285" s="109"/>
      <c r="J285" s="109"/>
      <c r="K285" s="109"/>
    </row>
    <row r="286" spans="1:11" x14ac:dyDescent="0.25">
      <c r="A286" s="108"/>
      <c r="B286" s="109"/>
      <c r="C286" s="109"/>
      <c r="D286" s="109"/>
      <c r="E286" s="109"/>
      <c r="F286" s="109"/>
      <c r="G286" s="109"/>
      <c r="H286" s="109"/>
      <c r="I286" s="109"/>
      <c r="J286" s="109"/>
      <c r="K286" s="109"/>
    </row>
    <row r="287" spans="1:11" x14ac:dyDescent="0.25">
      <c r="A287" s="108"/>
      <c r="B287" s="109"/>
      <c r="C287" s="109"/>
      <c r="D287" s="109"/>
      <c r="E287" s="109"/>
      <c r="F287" s="109"/>
      <c r="G287" s="109"/>
      <c r="H287" s="109"/>
      <c r="I287" s="109"/>
      <c r="J287" s="109"/>
      <c r="K287" s="109"/>
    </row>
    <row r="288" spans="1:11" x14ac:dyDescent="0.25">
      <c r="A288" s="108"/>
      <c r="B288" s="109"/>
      <c r="C288" s="109"/>
      <c r="D288" s="109"/>
      <c r="E288" s="109"/>
      <c r="F288" s="109"/>
      <c r="G288" s="109"/>
      <c r="H288" s="109"/>
      <c r="I288" s="109"/>
      <c r="J288" s="109"/>
      <c r="K288" s="109"/>
    </row>
    <row r="289" spans="1:11" x14ac:dyDescent="0.25">
      <c r="A289" s="108"/>
      <c r="B289" s="109"/>
      <c r="C289" s="109"/>
      <c r="D289" s="109"/>
      <c r="E289" s="109"/>
      <c r="F289" s="109"/>
      <c r="G289" s="109"/>
      <c r="H289" s="109"/>
      <c r="I289" s="109"/>
      <c r="J289" s="109"/>
      <c r="K289" s="109"/>
    </row>
    <row r="290" spans="1:11" x14ac:dyDescent="0.25">
      <c r="A290" s="108"/>
      <c r="B290" s="109"/>
      <c r="C290" s="109"/>
      <c r="D290" s="109"/>
      <c r="E290" s="109"/>
      <c r="F290" s="109"/>
      <c r="G290" s="109"/>
      <c r="H290" s="109"/>
      <c r="I290" s="109"/>
      <c r="J290" s="109"/>
      <c r="K290" s="109"/>
    </row>
    <row r="291" spans="1:11" x14ac:dyDescent="0.25">
      <c r="A291" s="108"/>
      <c r="B291" s="109"/>
      <c r="C291" s="109"/>
      <c r="D291" s="109"/>
      <c r="E291" s="109"/>
      <c r="F291" s="109"/>
      <c r="G291" s="109"/>
      <c r="H291" s="109"/>
      <c r="I291" s="109"/>
      <c r="J291" s="109"/>
      <c r="K291" s="109"/>
    </row>
    <row r="292" spans="1:11" x14ac:dyDescent="0.25">
      <c r="A292" s="108"/>
      <c r="B292" s="109"/>
      <c r="C292" s="109"/>
      <c r="D292" s="109"/>
      <c r="E292" s="109"/>
      <c r="F292" s="109"/>
      <c r="G292" s="109"/>
      <c r="H292" s="109"/>
      <c r="I292" s="109"/>
      <c r="J292" s="109"/>
      <c r="K292" s="109"/>
    </row>
    <row r="293" spans="1:11" x14ac:dyDescent="0.25">
      <c r="A293" s="108"/>
      <c r="B293" s="109"/>
      <c r="C293" s="109"/>
      <c r="D293" s="109"/>
      <c r="E293" s="109"/>
      <c r="F293" s="109"/>
      <c r="G293" s="109"/>
      <c r="H293" s="109"/>
      <c r="I293" s="109"/>
      <c r="J293" s="109"/>
      <c r="K293" s="109"/>
    </row>
    <row r="294" spans="1:11" x14ac:dyDescent="0.25">
      <c r="A294" s="108"/>
      <c r="B294" s="109"/>
      <c r="C294" s="109"/>
      <c r="D294" s="109"/>
      <c r="E294" s="109"/>
      <c r="F294" s="109"/>
      <c r="G294" s="109"/>
      <c r="H294" s="109"/>
      <c r="I294" s="109"/>
      <c r="J294" s="109"/>
      <c r="K294" s="109"/>
    </row>
    <row r="295" spans="1:11" x14ac:dyDescent="0.25">
      <c r="A295" s="108"/>
      <c r="B295" s="109"/>
      <c r="C295" s="109"/>
      <c r="D295" s="109"/>
      <c r="E295" s="109"/>
      <c r="F295" s="109"/>
      <c r="G295" s="109"/>
      <c r="H295" s="109"/>
      <c r="I295" s="109"/>
      <c r="J295" s="109"/>
      <c r="K295" s="109"/>
    </row>
    <row r="296" spans="1:11" x14ac:dyDescent="0.25">
      <c r="A296" s="108"/>
      <c r="B296" s="109"/>
      <c r="C296" s="109"/>
      <c r="D296" s="109"/>
      <c r="E296" s="109"/>
      <c r="F296" s="109"/>
      <c r="G296" s="109"/>
      <c r="H296" s="109"/>
      <c r="I296" s="109"/>
      <c r="J296" s="109"/>
      <c r="K296" s="109"/>
    </row>
    <row r="297" spans="1:11" x14ac:dyDescent="0.25">
      <c r="A297" s="108"/>
      <c r="B297" s="109"/>
      <c r="C297" s="109"/>
      <c r="D297" s="109"/>
      <c r="E297" s="109"/>
      <c r="F297" s="109"/>
      <c r="G297" s="109"/>
      <c r="H297" s="109"/>
      <c r="I297" s="109"/>
      <c r="J297" s="109"/>
      <c r="K297" s="109"/>
    </row>
    <row r="298" spans="1:11" x14ac:dyDescent="0.25">
      <c r="A298" s="108"/>
      <c r="B298" s="109"/>
      <c r="C298" s="109"/>
      <c r="D298" s="109"/>
      <c r="E298" s="109"/>
      <c r="F298" s="109"/>
      <c r="G298" s="109"/>
      <c r="H298" s="109"/>
      <c r="I298" s="109"/>
      <c r="J298" s="109"/>
      <c r="K298" s="109"/>
    </row>
    <row r="299" spans="1:11" x14ac:dyDescent="0.25">
      <c r="A299" s="108"/>
      <c r="B299" s="109"/>
      <c r="C299" s="109"/>
      <c r="D299" s="109"/>
      <c r="E299" s="109"/>
      <c r="F299" s="109"/>
      <c r="G299" s="109"/>
      <c r="H299" s="109"/>
      <c r="I299" s="109"/>
      <c r="J299" s="109"/>
      <c r="K299" s="109"/>
    </row>
    <row r="300" spans="1:11" x14ac:dyDescent="0.25">
      <c r="A300" s="108"/>
      <c r="B300" s="109"/>
      <c r="C300" s="109"/>
      <c r="D300" s="109"/>
      <c r="E300" s="109"/>
      <c r="F300" s="109"/>
      <c r="G300" s="109"/>
      <c r="H300" s="109"/>
      <c r="I300" s="109"/>
      <c r="J300" s="109"/>
      <c r="K300" s="109"/>
    </row>
    <row r="301" spans="1:11" x14ac:dyDescent="0.25">
      <c r="A301" s="108"/>
      <c r="B301" s="109"/>
      <c r="C301" s="109"/>
      <c r="D301" s="109"/>
      <c r="E301" s="109"/>
      <c r="F301" s="109"/>
      <c r="G301" s="109"/>
      <c r="H301" s="109"/>
      <c r="I301" s="109"/>
      <c r="J301" s="109"/>
      <c r="K301" s="109"/>
    </row>
    <row r="302" spans="1:11" x14ac:dyDescent="0.25">
      <c r="A302" s="108"/>
      <c r="B302" s="109"/>
      <c r="C302" s="109"/>
      <c r="D302" s="109"/>
      <c r="E302" s="109"/>
      <c r="F302" s="109"/>
      <c r="G302" s="109"/>
      <c r="H302" s="109"/>
      <c r="I302" s="109"/>
      <c r="J302" s="109"/>
      <c r="K302" s="109"/>
    </row>
    <row r="303" spans="1:11" x14ac:dyDescent="0.25">
      <c r="A303" s="108"/>
      <c r="B303" s="109"/>
      <c r="C303" s="109"/>
      <c r="D303" s="109"/>
      <c r="E303" s="109"/>
      <c r="F303" s="109"/>
      <c r="G303" s="109"/>
      <c r="H303" s="109"/>
      <c r="I303" s="109"/>
      <c r="J303" s="109"/>
      <c r="K303" s="109"/>
    </row>
    <row r="304" spans="1:11" x14ac:dyDescent="0.25">
      <c r="A304" s="108"/>
      <c r="B304" s="109"/>
      <c r="C304" s="109"/>
      <c r="D304" s="109"/>
      <c r="E304" s="109"/>
      <c r="F304" s="109"/>
      <c r="G304" s="109"/>
      <c r="H304" s="109"/>
      <c r="I304" s="109"/>
      <c r="J304" s="109"/>
      <c r="K304" s="109"/>
    </row>
    <row r="305" spans="1:11" x14ac:dyDescent="0.25">
      <c r="A305" s="108"/>
      <c r="B305" s="109"/>
      <c r="C305" s="109"/>
      <c r="D305" s="109"/>
      <c r="E305" s="109"/>
      <c r="F305" s="109"/>
      <c r="G305" s="109"/>
      <c r="H305" s="109"/>
      <c r="I305" s="109"/>
      <c r="J305" s="109"/>
      <c r="K305" s="109"/>
    </row>
    <row r="306" spans="1:11" x14ac:dyDescent="0.25">
      <c r="A306" s="108"/>
      <c r="B306" s="109"/>
      <c r="C306" s="109"/>
      <c r="D306" s="109"/>
      <c r="E306" s="109"/>
      <c r="F306" s="109"/>
      <c r="G306" s="109"/>
      <c r="H306" s="109"/>
      <c r="I306" s="109"/>
      <c r="J306" s="109"/>
      <c r="K306" s="109"/>
    </row>
    <row r="307" spans="1:11" x14ac:dyDescent="0.25">
      <c r="A307" s="108"/>
      <c r="B307" s="109"/>
      <c r="C307" s="109"/>
      <c r="D307" s="109"/>
      <c r="E307" s="109"/>
      <c r="F307" s="109"/>
      <c r="G307" s="109"/>
      <c r="H307" s="109"/>
      <c r="I307" s="109"/>
      <c r="J307" s="109"/>
      <c r="K307" s="109"/>
    </row>
    <row r="308" spans="1:11" x14ac:dyDescent="0.25">
      <c r="A308" s="108"/>
      <c r="B308" s="109"/>
      <c r="C308" s="109"/>
      <c r="D308" s="109"/>
      <c r="E308" s="109"/>
      <c r="F308" s="109"/>
      <c r="G308" s="109"/>
      <c r="H308" s="109"/>
      <c r="I308" s="109"/>
      <c r="J308" s="109"/>
      <c r="K308" s="109"/>
    </row>
    <row r="309" spans="1:11" x14ac:dyDescent="0.25">
      <c r="A309" s="108"/>
      <c r="B309" s="109"/>
      <c r="C309" s="109"/>
      <c r="D309" s="109"/>
      <c r="E309" s="109"/>
      <c r="F309" s="109"/>
      <c r="G309" s="109"/>
      <c r="H309" s="109"/>
      <c r="I309" s="109"/>
      <c r="J309" s="109"/>
      <c r="K309" s="109"/>
    </row>
    <row r="310" spans="1:11" x14ac:dyDescent="0.25">
      <c r="A310" s="108"/>
      <c r="B310" s="109"/>
      <c r="C310" s="109"/>
      <c r="D310" s="109"/>
      <c r="E310" s="109"/>
      <c r="F310" s="109"/>
      <c r="G310" s="109"/>
      <c r="H310" s="109"/>
      <c r="I310" s="109"/>
      <c r="J310" s="109"/>
      <c r="K310" s="109"/>
    </row>
    <row r="311" spans="1:11" x14ac:dyDescent="0.25">
      <c r="A311" s="108"/>
      <c r="B311" s="109"/>
      <c r="C311" s="109"/>
      <c r="D311" s="109"/>
      <c r="E311" s="109"/>
      <c r="F311" s="109"/>
      <c r="G311" s="109"/>
      <c r="H311" s="109"/>
      <c r="I311" s="109"/>
      <c r="J311" s="109"/>
      <c r="K311" s="109"/>
    </row>
    <row r="312" spans="1:11" x14ac:dyDescent="0.25">
      <c r="A312" s="108"/>
      <c r="B312" s="109"/>
      <c r="C312" s="109"/>
      <c r="D312" s="109"/>
      <c r="E312" s="109"/>
      <c r="F312" s="109"/>
      <c r="G312" s="109"/>
      <c r="H312" s="109"/>
      <c r="I312" s="109"/>
      <c r="J312" s="109"/>
      <c r="K312" s="109"/>
    </row>
    <row r="313" spans="1:11" x14ac:dyDescent="0.25">
      <c r="A313" s="108"/>
      <c r="B313" s="109"/>
      <c r="C313" s="109"/>
      <c r="D313" s="109"/>
      <c r="E313" s="109"/>
      <c r="F313" s="109"/>
      <c r="G313" s="109"/>
      <c r="H313" s="109"/>
      <c r="I313" s="109"/>
      <c r="J313" s="109"/>
      <c r="K313" s="109"/>
    </row>
    <row r="314" spans="1:11" x14ac:dyDescent="0.25">
      <c r="A314" s="108"/>
      <c r="B314" s="109"/>
      <c r="C314" s="109"/>
      <c r="D314" s="109"/>
      <c r="E314" s="109"/>
      <c r="F314" s="109"/>
      <c r="G314" s="109"/>
      <c r="H314" s="109"/>
      <c r="I314" s="109"/>
      <c r="J314" s="109"/>
      <c r="K314" s="109"/>
    </row>
    <row r="315" spans="1:11" x14ac:dyDescent="0.25">
      <c r="A315" s="108"/>
      <c r="B315" s="109"/>
      <c r="C315" s="109"/>
      <c r="D315" s="109"/>
      <c r="E315" s="109"/>
      <c r="F315" s="109"/>
      <c r="G315" s="109"/>
      <c r="H315" s="109"/>
      <c r="I315" s="109"/>
      <c r="J315" s="109"/>
      <c r="K315" s="109"/>
    </row>
    <row r="316" spans="1:11" x14ac:dyDescent="0.25">
      <c r="A316" s="108"/>
      <c r="B316" s="109"/>
      <c r="C316" s="109"/>
      <c r="D316" s="109"/>
      <c r="E316" s="109"/>
      <c r="F316" s="109"/>
      <c r="G316" s="109"/>
      <c r="H316" s="109"/>
      <c r="I316" s="109"/>
      <c r="J316" s="109"/>
      <c r="K316" s="109"/>
    </row>
    <row r="317" spans="1:11" x14ac:dyDescent="0.25">
      <c r="A317" s="108"/>
      <c r="B317" s="109"/>
      <c r="C317" s="109"/>
      <c r="D317" s="109"/>
      <c r="E317" s="109"/>
      <c r="F317" s="109"/>
      <c r="G317" s="109"/>
      <c r="H317" s="109"/>
      <c r="I317" s="109"/>
      <c r="J317" s="109"/>
      <c r="K317" s="109"/>
    </row>
    <row r="318" spans="1:11" x14ac:dyDescent="0.25">
      <c r="A318" s="108"/>
      <c r="B318" s="109"/>
      <c r="C318" s="109"/>
      <c r="D318" s="109"/>
      <c r="E318" s="109"/>
      <c r="F318" s="109"/>
      <c r="G318" s="109"/>
      <c r="H318" s="109"/>
      <c r="I318" s="109"/>
      <c r="J318" s="109"/>
      <c r="K318" s="109"/>
    </row>
    <row r="319" spans="1:11" x14ac:dyDescent="0.25">
      <c r="A319" s="108"/>
      <c r="B319" s="109"/>
      <c r="C319" s="109"/>
      <c r="D319" s="109"/>
      <c r="E319" s="109"/>
      <c r="F319" s="109"/>
      <c r="G319" s="109"/>
      <c r="H319" s="109"/>
      <c r="I319" s="109"/>
      <c r="J319" s="109"/>
      <c r="K319" s="109"/>
    </row>
    <row r="320" spans="1:11" x14ac:dyDescent="0.25">
      <c r="A320" s="108"/>
      <c r="B320" s="109"/>
      <c r="C320" s="109"/>
      <c r="D320" s="109"/>
      <c r="E320" s="109"/>
      <c r="F320" s="109"/>
      <c r="G320" s="109"/>
      <c r="H320" s="109"/>
      <c r="I320" s="109"/>
      <c r="J320" s="109"/>
      <c r="K320" s="109"/>
    </row>
    <row r="321" spans="1:11" x14ac:dyDescent="0.25">
      <c r="A321" s="108"/>
      <c r="B321" s="109"/>
      <c r="C321" s="109"/>
      <c r="D321" s="109"/>
      <c r="E321" s="109"/>
      <c r="F321" s="109"/>
      <c r="G321" s="109"/>
      <c r="H321" s="109"/>
      <c r="I321" s="109"/>
      <c r="J321" s="109"/>
      <c r="K321" s="109"/>
    </row>
    <row r="322" spans="1:11" x14ac:dyDescent="0.25">
      <c r="A322" s="108"/>
      <c r="B322" s="109"/>
      <c r="C322" s="109"/>
      <c r="D322" s="109"/>
      <c r="E322" s="109"/>
      <c r="F322" s="109"/>
      <c r="G322" s="109"/>
      <c r="H322" s="109"/>
      <c r="I322" s="109"/>
      <c r="J322" s="109"/>
      <c r="K322" s="109"/>
    </row>
    <row r="323" spans="1:11" x14ac:dyDescent="0.25">
      <c r="A323" s="108"/>
      <c r="B323" s="109"/>
      <c r="C323" s="109"/>
      <c r="D323" s="109"/>
      <c r="E323" s="109"/>
      <c r="F323" s="109"/>
      <c r="G323" s="109"/>
      <c r="H323" s="109"/>
      <c r="I323" s="109"/>
      <c r="J323" s="109"/>
      <c r="K323" s="109"/>
    </row>
    <row r="324" spans="1:11" x14ac:dyDescent="0.25">
      <c r="A324" s="108"/>
      <c r="B324" s="109"/>
      <c r="C324" s="109"/>
      <c r="D324" s="109"/>
      <c r="E324" s="109"/>
      <c r="F324" s="109"/>
      <c r="G324" s="109"/>
      <c r="H324" s="109"/>
      <c r="I324" s="109"/>
      <c r="J324" s="109"/>
      <c r="K324" s="109"/>
    </row>
    <row r="325" spans="1:11" x14ac:dyDescent="0.25">
      <c r="A325" s="108"/>
      <c r="B325" s="109"/>
      <c r="C325" s="109"/>
      <c r="D325" s="109"/>
      <c r="E325" s="109"/>
      <c r="F325" s="109"/>
      <c r="G325" s="109"/>
      <c r="H325" s="109"/>
      <c r="I325" s="109"/>
      <c r="J325" s="109"/>
      <c r="K325" s="109"/>
    </row>
    <row r="326" spans="1:11" x14ac:dyDescent="0.25">
      <c r="A326" s="108"/>
      <c r="B326" s="109"/>
      <c r="C326" s="109"/>
      <c r="D326" s="109"/>
      <c r="E326" s="109"/>
      <c r="F326" s="109"/>
      <c r="G326" s="109"/>
      <c r="H326" s="109"/>
      <c r="I326" s="109"/>
      <c r="J326" s="109"/>
      <c r="K326" s="109"/>
    </row>
    <row r="327" spans="1:11" x14ac:dyDescent="0.25">
      <c r="A327" s="108"/>
      <c r="B327" s="109"/>
      <c r="C327" s="109"/>
      <c r="D327" s="109"/>
      <c r="E327" s="109"/>
      <c r="F327" s="109"/>
      <c r="G327" s="109"/>
      <c r="H327" s="109"/>
      <c r="I327" s="109"/>
      <c r="J327" s="109"/>
      <c r="K327" s="109"/>
    </row>
    <row r="328" spans="1:11" x14ac:dyDescent="0.25">
      <c r="A328" s="108"/>
      <c r="B328" s="109"/>
      <c r="C328" s="109"/>
      <c r="D328" s="109"/>
      <c r="E328" s="109"/>
      <c r="F328" s="109"/>
      <c r="G328" s="109"/>
      <c r="H328" s="109"/>
      <c r="I328" s="109"/>
      <c r="J328" s="109"/>
      <c r="K328" s="109"/>
    </row>
    <row r="329" spans="1:11" x14ac:dyDescent="0.25">
      <c r="A329" s="108"/>
      <c r="B329" s="109"/>
      <c r="C329" s="109"/>
      <c r="D329" s="109"/>
      <c r="E329" s="109"/>
      <c r="F329" s="109"/>
      <c r="G329" s="109"/>
      <c r="H329" s="109"/>
      <c r="I329" s="109"/>
      <c r="J329" s="109"/>
      <c r="K329" s="109"/>
    </row>
    <row r="330" spans="1:11" x14ac:dyDescent="0.25">
      <c r="A330" s="108"/>
      <c r="B330" s="109"/>
      <c r="C330" s="109"/>
      <c r="D330" s="109"/>
      <c r="E330" s="109"/>
      <c r="F330" s="109"/>
      <c r="G330" s="109"/>
      <c r="H330" s="109"/>
      <c r="I330" s="109"/>
      <c r="J330" s="109"/>
      <c r="K330" s="109"/>
    </row>
    <row r="331" spans="1:11" x14ac:dyDescent="0.25">
      <c r="A331" s="108"/>
      <c r="B331" s="109"/>
      <c r="C331" s="109"/>
      <c r="D331" s="109"/>
      <c r="E331" s="109"/>
      <c r="F331" s="109"/>
      <c r="G331" s="109"/>
      <c r="H331" s="109"/>
      <c r="I331" s="109"/>
      <c r="J331" s="109"/>
      <c r="K331" s="109"/>
    </row>
    <row r="332" spans="1:11" x14ac:dyDescent="0.25">
      <c r="A332" s="108"/>
      <c r="B332" s="109"/>
      <c r="C332" s="109"/>
      <c r="D332" s="109"/>
      <c r="E332" s="109"/>
      <c r="F332" s="109"/>
      <c r="G332" s="109"/>
      <c r="H332" s="109"/>
      <c r="I332" s="109"/>
      <c r="J332" s="109"/>
      <c r="K332" s="109"/>
    </row>
    <row r="333" spans="1:11" x14ac:dyDescent="0.25">
      <c r="A333" s="108"/>
      <c r="B333" s="109"/>
      <c r="C333" s="109"/>
      <c r="D333" s="109"/>
      <c r="E333" s="109"/>
      <c r="F333" s="109"/>
      <c r="G333" s="109"/>
      <c r="H333" s="109"/>
      <c r="I333" s="109"/>
      <c r="J333" s="109"/>
      <c r="K333" s="109"/>
    </row>
    <row r="334" spans="1:11" x14ac:dyDescent="0.25">
      <c r="A334" s="108"/>
      <c r="B334" s="109"/>
      <c r="C334" s="109"/>
      <c r="D334" s="109"/>
      <c r="E334" s="109"/>
      <c r="F334" s="109"/>
      <c r="G334" s="109"/>
      <c r="H334" s="109"/>
      <c r="I334" s="109"/>
      <c r="J334" s="109"/>
      <c r="K334" s="109"/>
    </row>
    <row r="335" spans="1:11" x14ac:dyDescent="0.25">
      <c r="A335" s="108"/>
      <c r="B335" s="109"/>
      <c r="C335" s="109"/>
      <c r="D335" s="109"/>
      <c r="E335" s="109"/>
      <c r="F335" s="109"/>
      <c r="G335" s="109"/>
      <c r="H335" s="109"/>
      <c r="I335" s="109"/>
      <c r="J335" s="109"/>
      <c r="K335" s="109"/>
    </row>
    <row r="336" spans="1:11" x14ac:dyDescent="0.25">
      <c r="A336" s="108"/>
      <c r="B336" s="109"/>
      <c r="C336" s="109"/>
      <c r="D336" s="109"/>
      <c r="E336" s="109"/>
      <c r="F336" s="109"/>
      <c r="G336" s="109"/>
      <c r="H336" s="109"/>
      <c r="I336" s="109"/>
      <c r="J336" s="109"/>
      <c r="K336" s="109"/>
    </row>
    <row r="337" spans="1:11" x14ac:dyDescent="0.25">
      <c r="A337" s="108"/>
      <c r="B337" s="109"/>
      <c r="C337" s="109"/>
      <c r="D337" s="109"/>
      <c r="E337" s="109"/>
      <c r="F337" s="109"/>
      <c r="G337" s="109"/>
      <c r="H337" s="109"/>
      <c r="I337" s="109"/>
      <c r="J337" s="109"/>
      <c r="K337" s="109"/>
    </row>
    <row r="338" spans="1:11" x14ac:dyDescent="0.25">
      <c r="A338" s="108"/>
      <c r="B338" s="109"/>
      <c r="C338" s="109"/>
      <c r="D338" s="109"/>
      <c r="E338" s="109"/>
      <c r="F338" s="109"/>
      <c r="G338" s="109"/>
      <c r="H338" s="109"/>
      <c r="I338" s="109"/>
      <c r="J338" s="109"/>
      <c r="K338" s="109"/>
    </row>
    <row r="339" spans="1:11" x14ac:dyDescent="0.25">
      <c r="A339" s="108"/>
      <c r="B339" s="109"/>
      <c r="C339" s="109"/>
      <c r="D339" s="109"/>
      <c r="E339" s="109"/>
      <c r="F339" s="109"/>
      <c r="G339" s="109"/>
      <c r="H339" s="109"/>
      <c r="I339" s="109"/>
      <c r="J339" s="109"/>
      <c r="K339" s="109"/>
    </row>
    <row r="340" spans="1:11" x14ac:dyDescent="0.25">
      <c r="A340" s="108"/>
      <c r="B340" s="109"/>
      <c r="C340" s="109"/>
      <c r="D340" s="109"/>
      <c r="E340" s="109"/>
      <c r="F340" s="109"/>
      <c r="G340" s="109"/>
      <c r="H340" s="109"/>
      <c r="I340" s="109"/>
      <c r="J340" s="109"/>
      <c r="K340" s="109"/>
    </row>
    <row r="341" spans="1:11" x14ac:dyDescent="0.25">
      <c r="A341" s="108"/>
      <c r="B341" s="109"/>
      <c r="C341" s="109"/>
      <c r="D341" s="109"/>
      <c r="E341" s="109"/>
      <c r="F341" s="109"/>
      <c r="G341" s="109"/>
      <c r="H341" s="109"/>
      <c r="I341" s="109"/>
      <c r="J341" s="109"/>
      <c r="K341" s="109"/>
    </row>
    <row r="342" spans="1:11" x14ac:dyDescent="0.25">
      <c r="A342" s="108"/>
      <c r="B342" s="109"/>
      <c r="C342" s="109"/>
      <c r="D342" s="109"/>
      <c r="E342" s="109"/>
      <c r="F342" s="109"/>
      <c r="G342" s="109"/>
      <c r="H342" s="109"/>
      <c r="I342" s="109"/>
      <c r="J342" s="109"/>
      <c r="K342" s="109"/>
    </row>
    <row r="343" spans="1:11" x14ac:dyDescent="0.25">
      <c r="A343" s="108"/>
      <c r="B343" s="109"/>
      <c r="C343" s="109"/>
      <c r="D343" s="109"/>
      <c r="E343" s="109"/>
      <c r="F343" s="109"/>
      <c r="G343" s="109"/>
      <c r="H343" s="109"/>
      <c r="I343" s="109"/>
      <c r="J343" s="109"/>
      <c r="K343" s="109"/>
    </row>
    <row r="344" spans="1:11" x14ac:dyDescent="0.25">
      <c r="A344" s="108"/>
      <c r="B344" s="109"/>
      <c r="C344" s="109"/>
      <c r="D344" s="109"/>
      <c r="E344" s="109"/>
      <c r="F344" s="109"/>
      <c r="G344" s="109"/>
      <c r="H344" s="109"/>
      <c r="I344" s="109"/>
      <c r="J344" s="109"/>
      <c r="K344" s="109"/>
    </row>
    <row r="345" spans="1:11" x14ac:dyDescent="0.25">
      <c r="A345" s="108"/>
      <c r="B345" s="109"/>
      <c r="C345" s="109"/>
      <c r="D345" s="109"/>
      <c r="E345" s="109"/>
      <c r="F345" s="109"/>
      <c r="G345" s="109"/>
      <c r="H345" s="109"/>
      <c r="I345" s="109"/>
      <c r="J345" s="109"/>
      <c r="K345" s="109"/>
    </row>
    <row r="346" spans="1:11" x14ac:dyDescent="0.25">
      <c r="A346" s="108"/>
      <c r="B346" s="109"/>
      <c r="C346" s="109"/>
      <c r="D346" s="109"/>
      <c r="E346" s="109"/>
      <c r="F346" s="109"/>
      <c r="G346" s="109"/>
      <c r="H346" s="109"/>
      <c r="I346" s="109"/>
      <c r="J346" s="109"/>
      <c r="K346" s="109"/>
    </row>
    <row r="347" spans="1:11" x14ac:dyDescent="0.25">
      <c r="A347" s="108"/>
      <c r="B347" s="109"/>
      <c r="C347" s="109"/>
      <c r="D347" s="109"/>
      <c r="E347" s="109"/>
      <c r="F347" s="109"/>
      <c r="G347" s="109"/>
      <c r="H347" s="109"/>
      <c r="I347" s="109"/>
      <c r="J347" s="109"/>
      <c r="K347" s="109"/>
    </row>
    <row r="348" spans="1:11" x14ac:dyDescent="0.25">
      <c r="A348" s="108"/>
      <c r="B348" s="109"/>
      <c r="C348" s="109"/>
      <c r="D348" s="109"/>
      <c r="E348" s="109"/>
      <c r="F348" s="109"/>
      <c r="G348" s="109"/>
      <c r="H348" s="109"/>
      <c r="I348" s="109"/>
      <c r="J348" s="109"/>
      <c r="K348" s="109"/>
    </row>
    <row r="349" spans="1:11" x14ac:dyDescent="0.25">
      <c r="A349" s="108"/>
      <c r="B349" s="109"/>
      <c r="C349" s="109"/>
      <c r="D349" s="109"/>
      <c r="E349" s="109"/>
      <c r="F349" s="109"/>
      <c r="G349" s="109"/>
      <c r="H349" s="109"/>
      <c r="I349" s="109"/>
      <c r="J349" s="109"/>
      <c r="K349" s="109"/>
    </row>
    <row r="350" spans="1:11" x14ac:dyDescent="0.25">
      <c r="A350" s="108"/>
      <c r="B350" s="109"/>
      <c r="C350" s="109"/>
      <c r="D350" s="109"/>
      <c r="E350" s="109"/>
      <c r="F350" s="109"/>
      <c r="G350" s="109"/>
      <c r="H350" s="109"/>
      <c r="I350" s="109"/>
      <c r="J350" s="109"/>
      <c r="K350" s="109"/>
    </row>
    <row r="351" spans="1:11" x14ac:dyDescent="0.25">
      <c r="A351" s="108"/>
      <c r="B351" s="109"/>
      <c r="C351" s="109"/>
      <c r="D351" s="109"/>
      <c r="E351" s="109"/>
      <c r="F351" s="109"/>
      <c r="G351" s="109"/>
      <c r="H351" s="109"/>
      <c r="I351" s="109"/>
      <c r="J351" s="109"/>
      <c r="K351" s="109"/>
    </row>
    <row r="352" spans="1:11" x14ac:dyDescent="0.25">
      <c r="A352" s="108"/>
      <c r="B352" s="109"/>
      <c r="C352" s="109"/>
      <c r="D352" s="109"/>
      <c r="E352" s="109"/>
      <c r="F352" s="109"/>
      <c r="G352" s="109"/>
      <c r="H352" s="109"/>
      <c r="I352" s="109"/>
      <c r="J352" s="109"/>
      <c r="K352" s="109"/>
    </row>
    <row r="353" spans="1:11" x14ac:dyDescent="0.25">
      <c r="A353" s="108"/>
      <c r="B353" s="109"/>
      <c r="C353" s="109"/>
      <c r="D353" s="109"/>
      <c r="E353" s="109"/>
      <c r="F353" s="109"/>
      <c r="G353" s="109"/>
      <c r="H353" s="109"/>
      <c r="I353" s="109"/>
      <c r="J353" s="109"/>
      <c r="K353" s="109"/>
    </row>
    <row r="354" spans="1:11" x14ac:dyDescent="0.25">
      <c r="A354" s="108"/>
      <c r="B354" s="109"/>
      <c r="C354" s="109"/>
      <c r="D354" s="109"/>
      <c r="E354" s="109"/>
      <c r="F354" s="109"/>
      <c r="G354" s="109"/>
      <c r="H354" s="109"/>
      <c r="I354" s="109"/>
      <c r="J354" s="109"/>
      <c r="K354" s="109"/>
    </row>
    <row r="355" spans="1:11" x14ac:dyDescent="0.25">
      <c r="A355" s="108"/>
      <c r="B355" s="109"/>
      <c r="C355" s="109"/>
      <c r="D355" s="109"/>
      <c r="E355" s="109"/>
      <c r="F355" s="109"/>
      <c r="G355" s="109"/>
      <c r="H355" s="109"/>
      <c r="I355" s="109"/>
      <c r="J355" s="109"/>
      <c r="K355" s="109"/>
    </row>
    <row r="356" spans="1:11" x14ac:dyDescent="0.25">
      <c r="A356" s="108"/>
      <c r="B356" s="109"/>
      <c r="C356" s="109"/>
      <c r="D356" s="109"/>
      <c r="E356" s="109"/>
      <c r="F356" s="109"/>
      <c r="G356" s="109"/>
      <c r="H356" s="109"/>
      <c r="I356" s="109"/>
      <c r="J356" s="109"/>
      <c r="K356" s="109"/>
    </row>
    <row r="357" spans="1:11" x14ac:dyDescent="0.25">
      <c r="A357" s="108"/>
      <c r="B357" s="109"/>
      <c r="C357" s="109"/>
      <c r="D357" s="109"/>
      <c r="E357" s="109"/>
      <c r="F357" s="109"/>
      <c r="G357" s="109"/>
      <c r="H357" s="109"/>
      <c r="I357" s="109"/>
      <c r="J357" s="109"/>
      <c r="K357" s="109"/>
    </row>
    <row r="358" spans="1:11" x14ac:dyDescent="0.25">
      <c r="A358" s="108"/>
      <c r="B358" s="109"/>
      <c r="C358" s="109"/>
      <c r="D358" s="109"/>
      <c r="E358" s="109"/>
      <c r="F358" s="109"/>
      <c r="G358" s="109"/>
      <c r="H358" s="109"/>
      <c r="I358" s="109"/>
      <c r="J358" s="109"/>
      <c r="K358" s="109"/>
    </row>
    <row r="359" spans="1:11" x14ac:dyDescent="0.25">
      <c r="A359" s="108"/>
      <c r="B359" s="109"/>
      <c r="C359" s="109"/>
      <c r="D359" s="109"/>
      <c r="E359" s="109"/>
      <c r="F359" s="109"/>
      <c r="G359" s="109"/>
      <c r="H359" s="109"/>
      <c r="I359" s="109"/>
      <c r="J359" s="109"/>
      <c r="K359" s="109"/>
    </row>
    <row r="360" spans="1:11" x14ac:dyDescent="0.25">
      <c r="A360" s="108"/>
      <c r="B360" s="109"/>
      <c r="C360" s="109"/>
      <c r="D360" s="109"/>
      <c r="E360" s="109"/>
      <c r="F360" s="109"/>
      <c r="G360" s="109"/>
      <c r="H360" s="109"/>
      <c r="I360" s="109"/>
      <c r="J360" s="109"/>
      <c r="K360" s="109"/>
    </row>
    <row r="361" spans="1:11" x14ac:dyDescent="0.25">
      <c r="A361" s="108"/>
      <c r="B361" s="109"/>
      <c r="C361" s="109"/>
      <c r="D361" s="109"/>
      <c r="E361" s="109"/>
      <c r="F361" s="109"/>
      <c r="G361" s="109"/>
      <c r="H361" s="109"/>
      <c r="I361" s="109"/>
      <c r="J361" s="109"/>
      <c r="K361" s="109"/>
    </row>
    <row r="362" spans="1:11" x14ac:dyDescent="0.25">
      <c r="A362" s="108"/>
      <c r="B362" s="109"/>
      <c r="C362" s="109"/>
      <c r="D362" s="109"/>
      <c r="E362" s="109"/>
      <c r="F362" s="109"/>
      <c r="G362" s="109"/>
      <c r="H362" s="109"/>
      <c r="I362" s="109"/>
      <c r="J362" s="109"/>
      <c r="K362" s="109"/>
    </row>
    <row r="363" spans="1:11" x14ac:dyDescent="0.25">
      <c r="A363" s="108"/>
      <c r="B363" s="109"/>
      <c r="C363" s="109"/>
      <c r="D363" s="109"/>
      <c r="E363" s="109"/>
      <c r="F363" s="109"/>
      <c r="G363" s="109"/>
      <c r="H363" s="109"/>
      <c r="I363" s="109"/>
      <c r="J363" s="109"/>
      <c r="K363" s="109"/>
    </row>
    <row r="364" spans="1:11" x14ac:dyDescent="0.25">
      <c r="A364" s="108"/>
      <c r="B364" s="109"/>
      <c r="C364" s="109"/>
      <c r="D364" s="109"/>
      <c r="E364" s="109"/>
      <c r="F364" s="109"/>
      <c r="G364" s="109"/>
      <c r="H364" s="109"/>
      <c r="I364" s="109"/>
      <c r="J364" s="109"/>
      <c r="K364" s="109"/>
    </row>
    <row r="365" spans="1:11" x14ac:dyDescent="0.25">
      <c r="A365" s="108"/>
      <c r="B365" s="109"/>
      <c r="C365" s="109"/>
      <c r="D365" s="109"/>
      <c r="E365" s="109"/>
      <c r="F365" s="109"/>
      <c r="G365" s="109"/>
      <c r="H365" s="109"/>
      <c r="I365" s="109"/>
      <c r="J365" s="109"/>
      <c r="K365" s="109"/>
    </row>
    <row r="366" spans="1:11" x14ac:dyDescent="0.25">
      <c r="A366" s="108"/>
      <c r="B366" s="109"/>
      <c r="C366" s="109"/>
      <c r="D366" s="109"/>
      <c r="E366" s="109"/>
      <c r="F366" s="109"/>
      <c r="G366" s="109"/>
      <c r="H366" s="109"/>
      <c r="I366" s="109"/>
      <c r="J366" s="109"/>
      <c r="K366" s="109"/>
    </row>
    <row r="367" spans="1:11" x14ac:dyDescent="0.25">
      <c r="A367" s="108"/>
      <c r="B367" s="109"/>
      <c r="C367" s="109"/>
      <c r="D367" s="109"/>
      <c r="E367" s="109"/>
      <c r="F367" s="109"/>
      <c r="G367" s="109"/>
      <c r="H367" s="109"/>
      <c r="I367" s="109"/>
      <c r="J367" s="109"/>
      <c r="K367" s="109"/>
    </row>
    <row r="368" spans="1:11" x14ac:dyDescent="0.25">
      <c r="A368" s="108"/>
      <c r="B368" s="109"/>
      <c r="C368" s="109"/>
      <c r="D368" s="109"/>
      <c r="E368" s="109"/>
      <c r="F368" s="109"/>
      <c r="G368" s="109"/>
      <c r="H368" s="109"/>
      <c r="I368" s="109"/>
      <c r="J368" s="109"/>
      <c r="K368" s="109"/>
    </row>
    <row r="369" spans="1:11" x14ac:dyDescent="0.25">
      <c r="A369" s="108"/>
      <c r="B369" s="109"/>
      <c r="C369" s="109"/>
      <c r="D369" s="109"/>
      <c r="E369" s="109"/>
      <c r="F369" s="109"/>
      <c r="G369" s="109"/>
      <c r="H369" s="109"/>
      <c r="I369" s="109"/>
      <c r="J369" s="109"/>
      <c r="K369" s="109"/>
    </row>
    <row r="370" spans="1:11" x14ac:dyDescent="0.25">
      <c r="A370" s="108"/>
      <c r="B370" s="109"/>
      <c r="C370" s="109"/>
      <c r="D370" s="109"/>
      <c r="E370" s="109"/>
      <c r="F370" s="109"/>
      <c r="G370" s="109"/>
      <c r="H370" s="109"/>
      <c r="I370" s="109"/>
      <c r="J370" s="109"/>
      <c r="K370" s="109"/>
    </row>
    <row r="371" spans="1:11" x14ac:dyDescent="0.25">
      <c r="A371" s="108"/>
      <c r="B371" s="109"/>
      <c r="C371" s="109"/>
      <c r="D371" s="109"/>
      <c r="E371" s="109"/>
      <c r="F371" s="109"/>
      <c r="G371" s="109"/>
      <c r="H371" s="109"/>
      <c r="I371" s="109"/>
      <c r="J371" s="109"/>
      <c r="K371" s="109"/>
    </row>
    <row r="372" spans="1:11" x14ac:dyDescent="0.25">
      <c r="A372" s="108"/>
      <c r="B372" s="109"/>
      <c r="C372" s="109"/>
      <c r="D372" s="109"/>
      <c r="E372" s="109"/>
      <c r="F372" s="109"/>
      <c r="G372" s="109"/>
      <c r="H372" s="109"/>
      <c r="I372" s="109"/>
      <c r="J372" s="109"/>
      <c r="K372" s="109"/>
    </row>
    <row r="373" spans="1:11" x14ac:dyDescent="0.25">
      <c r="A373" s="108"/>
      <c r="B373" s="109"/>
      <c r="C373" s="109"/>
      <c r="D373" s="109"/>
      <c r="E373" s="109"/>
      <c r="F373" s="109"/>
      <c r="G373" s="109"/>
      <c r="H373" s="109"/>
      <c r="I373" s="109"/>
      <c r="J373" s="109"/>
      <c r="K373" s="109"/>
    </row>
    <row r="374" spans="1:11" x14ac:dyDescent="0.25">
      <c r="A374" s="108"/>
      <c r="B374" s="109"/>
      <c r="C374" s="109"/>
      <c r="D374" s="109"/>
      <c r="E374" s="109"/>
      <c r="F374" s="109"/>
      <c r="G374" s="109"/>
      <c r="H374" s="109"/>
      <c r="I374" s="109"/>
      <c r="J374" s="109"/>
      <c r="K374" s="109"/>
    </row>
    <row r="375" spans="1:11" x14ac:dyDescent="0.25">
      <c r="A375" s="108"/>
      <c r="B375" s="109"/>
      <c r="C375" s="109"/>
      <c r="D375" s="109"/>
      <c r="E375" s="109"/>
      <c r="F375" s="109"/>
      <c r="G375" s="109"/>
      <c r="H375" s="109"/>
      <c r="I375" s="109"/>
      <c r="J375" s="109"/>
      <c r="K375" s="109"/>
    </row>
    <row r="376" spans="1:11" x14ac:dyDescent="0.25">
      <c r="A376" s="108"/>
      <c r="B376" s="109"/>
      <c r="C376" s="109"/>
      <c r="D376" s="109"/>
      <c r="E376" s="109"/>
      <c r="F376" s="109"/>
      <c r="G376" s="109"/>
      <c r="H376" s="109"/>
      <c r="I376" s="109"/>
      <c r="J376" s="109"/>
      <c r="K376" s="109"/>
    </row>
    <row r="377" spans="1:11" x14ac:dyDescent="0.25">
      <c r="A377" s="108"/>
      <c r="B377" s="109"/>
      <c r="C377" s="109"/>
      <c r="D377" s="109"/>
      <c r="E377" s="109"/>
      <c r="F377" s="109"/>
      <c r="G377" s="109"/>
      <c r="H377" s="109"/>
      <c r="I377" s="109"/>
      <c r="J377" s="109"/>
      <c r="K377" s="109"/>
    </row>
    <row r="378" spans="1:11" x14ac:dyDescent="0.25">
      <c r="A378" s="108"/>
      <c r="B378" s="109"/>
      <c r="C378" s="109"/>
      <c r="D378" s="109"/>
      <c r="E378" s="109"/>
      <c r="F378" s="109"/>
      <c r="G378" s="109"/>
      <c r="H378" s="109"/>
      <c r="I378" s="109"/>
      <c r="J378" s="109"/>
      <c r="K378" s="109"/>
    </row>
    <row r="379" spans="1:11" x14ac:dyDescent="0.25">
      <c r="A379" s="108"/>
      <c r="B379" s="109"/>
      <c r="C379" s="109"/>
      <c r="D379" s="109"/>
      <c r="E379" s="109"/>
      <c r="F379" s="109"/>
      <c r="G379" s="109"/>
      <c r="H379" s="109"/>
      <c r="I379" s="109"/>
      <c r="J379" s="109"/>
      <c r="K379" s="109"/>
    </row>
    <row r="380" spans="1:11" x14ac:dyDescent="0.25">
      <c r="A380" s="108"/>
      <c r="B380" s="109"/>
      <c r="C380" s="109"/>
      <c r="D380" s="109"/>
      <c r="E380" s="109"/>
      <c r="F380" s="109"/>
      <c r="G380" s="109"/>
      <c r="H380" s="109"/>
      <c r="I380" s="109"/>
      <c r="J380" s="109"/>
      <c r="K380" s="109"/>
    </row>
    <row r="381" spans="1:11" x14ac:dyDescent="0.25">
      <c r="A381" s="108"/>
      <c r="B381" s="109"/>
      <c r="C381" s="109"/>
      <c r="D381" s="109"/>
      <c r="E381" s="109"/>
      <c r="F381" s="109"/>
      <c r="G381" s="109"/>
      <c r="H381" s="109"/>
      <c r="I381" s="109"/>
      <c r="J381" s="109"/>
      <c r="K381" s="109"/>
    </row>
    <row r="382" spans="1:11" x14ac:dyDescent="0.25">
      <c r="A382" s="108"/>
      <c r="B382" s="109"/>
      <c r="C382" s="109"/>
      <c r="D382" s="109"/>
      <c r="E382" s="109"/>
      <c r="F382" s="109"/>
      <c r="G382" s="109"/>
      <c r="H382" s="109"/>
      <c r="I382" s="109"/>
      <c r="J382" s="109"/>
      <c r="K382" s="109"/>
    </row>
    <row r="383" spans="1:11" x14ac:dyDescent="0.25">
      <c r="A383" s="108"/>
      <c r="B383" s="109"/>
      <c r="C383" s="109"/>
      <c r="D383" s="109"/>
      <c r="E383" s="109"/>
      <c r="F383" s="109"/>
      <c r="G383" s="109"/>
      <c r="H383" s="109"/>
      <c r="I383" s="109"/>
      <c r="J383" s="109"/>
      <c r="K383" s="109"/>
    </row>
    <row r="384" spans="1:11" x14ac:dyDescent="0.25">
      <c r="A384" s="108"/>
      <c r="B384" s="109"/>
      <c r="C384" s="109"/>
      <c r="D384" s="109"/>
      <c r="E384" s="109"/>
      <c r="F384" s="109"/>
      <c r="G384" s="109"/>
      <c r="H384" s="109"/>
      <c r="I384" s="109"/>
      <c r="J384" s="109"/>
      <c r="K384" s="109"/>
    </row>
    <row r="385" spans="1:11" x14ac:dyDescent="0.25">
      <c r="A385" s="108"/>
      <c r="B385" s="109"/>
      <c r="C385" s="109"/>
      <c r="D385" s="109"/>
      <c r="E385" s="109"/>
      <c r="F385" s="109"/>
      <c r="G385" s="109"/>
      <c r="H385" s="109"/>
      <c r="I385" s="109"/>
      <c r="J385" s="109"/>
      <c r="K385" s="109"/>
    </row>
    <row r="386" spans="1:11" x14ac:dyDescent="0.25">
      <c r="A386" s="108"/>
      <c r="B386" s="109"/>
      <c r="C386" s="109"/>
      <c r="D386" s="109"/>
      <c r="E386" s="109"/>
      <c r="F386" s="109"/>
      <c r="G386" s="109"/>
      <c r="H386" s="109"/>
      <c r="I386" s="109"/>
      <c r="J386" s="109"/>
      <c r="K386" s="109"/>
    </row>
    <row r="387" spans="1:11" x14ac:dyDescent="0.25">
      <c r="A387" s="108"/>
      <c r="B387" s="109"/>
      <c r="C387" s="109"/>
      <c r="D387" s="109"/>
      <c r="E387" s="109"/>
      <c r="F387" s="109"/>
      <c r="G387" s="109"/>
      <c r="H387" s="109"/>
      <c r="I387" s="109"/>
      <c r="J387" s="109"/>
      <c r="K387" s="109"/>
    </row>
    <row r="388" spans="1:11" x14ac:dyDescent="0.25">
      <c r="A388" s="108"/>
      <c r="B388" s="109"/>
      <c r="C388" s="109"/>
      <c r="D388" s="109"/>
      <c r="E388" s="109"/>
      <c r="F388" s="109"/>
      <c r="G388" s="109"/>
      <c r="H388" s="109"/>
      <c r="I388" s="109"/>
      <c r="J388" s="109"/>
      <c r="K388" s="109"/>
    </row>
    <row r="389" spans="1:11" x14ac:dyDescent="0.25">
      <c r="A389" s="108"/>
      <c r="B389" s="109"/>
      <c r="C389" s="109"/>
      <c r="D389" s="109"/>
      <c r="E389" s="109"/>
      <c r="F389" s="109"/>
      <c r="G389" s="109"/>
      <c r="H389" s="109"/>
      <c r="I389" s="109"/>
      <c r="J389" s="109"/>
      <c r="K389" s="109"/>
    </row>
    <row r="390" spans="1:11" x14ac:dyDescent="0.25">
      <c r="A390" s="108"/>
      <c r="B390" s="109"/>
      <c r="C390" s="109"/>
      <c r="D390" s="109"/>
      <c r="E390" s="109"/>
      <c r="F390" s="109"/>
      <c r="G390" s="109"/>
      <c r="H390" s="109"/>
      <c r="I390" s="109"/>
      <c r="J390" s="109"/>
      <c r="K390" s="109"/>
    </row>
    <row r="391" spans="1:11" x14ac:dyDescent="0.25">
      <c r="A391" s="108"/>
      <c r="B391" s="109"/>
      <c r="C391" s="109"/>
      <c r="D391" s="109"/>
      <c r="E391" s="109"/>
      <c r="F391" s="109"/>
      <c r="G391" s="109"/>
      <c r="H391" s="109"/>
      <c r="I391" s="109"/>
      <c r="J391" s="109"/>
      <c r="K391" s="109"/>
    </row>
    <row r="392" spans="1:11" x14ac:dyDescent="0.25">
      <c r="A392" s="108"/>
      <c r="B392" s="109"/>
      <c r="C392" s="109"/>
      <c r="D392" s="109"/>
      <c r="E392" s="109"/>
      <c r="F392" s="109"/>
      <c r="G392" s="109"/>
      <c r="H392" s="109"/>
      <c r="I392" s="109"/>
      <c r="J392" s="109"/>
      <c r="K392" s="109"/>
    </row>
    <row r="393" spans="1:11" x14ac:dyDescent="0.25">
      <c r="A393" s="108"/>
      <c r="B393" s="109"/>
      <c r="C393" s="109"/>
      <c r="D393" s="109"/>
      <c r="E393" s="109"/>
      <c r="F393" s="109"/>
      <c r="G393" s="109"/>
      <c r="H393" s="109"/>
      <c r="I393" s="109"/>
      <c r="J393" s="109"/>
      <c r="K393" s="109"/>
    </row>
    <row r="394" spans="1:11" x14ac:dyDescent="0.25">
      <c r="A394" s="108"/>
      <c r="B394" s="109"/>
      <c r="C394" s="109"/>
      <c r="D394" s="109"/>
      <c r="E394" s="109"/>
      <c r="F394" s="109"/>
      <c r="G394" s="109"/>
      <c r="H394" s="109"/>
      <c r="I394" s="109"/>
      <c r="J394" s="109"/>
      <c r="K394" s="109"/>
    </row>
    <row r="395" spans="1:11" x14ac:dyDescent="0.25">
      <c r="A395" s="108"/>
      <c r="B395" s="109"/>
      <c r="C395" s="109"/>
      <c r="D395" s="109"/>
      <c r="E395" s="109"/>
      <c r="F395" s="109"/>
      <c r="G395" s="109"/>
      <c r="H395" s="109"/>
      <c r="I395" s="109"/>
      <c r="J395" s="109"/>
      <c r="K395" s="109"/>
    </row>
  </sheetData>
  <mergeCells count="13">
    <mergeCell ref="A2:G2"/>
    <mergeCell ref="A4:G4"/>
    <mergeCell ref="A13:G13"/>
    <mergeCell ref="A23:G23"/>
    <mergeCell ref="A31:Q31"/>
    <mergeCell ref="A110:Q110"/>
    <mergeCell ref="A147:Q147"/>
    <mergeCell ref="A148:Q148"/>
    <mergeCell ref="A33:Q33"/>
    <mergeCell ref="A34:Q34"/>
    <mergeCell ref="A71:Q71"/>
    <mergeCell ref="A72:Q72"/>
    <mergeCell ref="A109:Q109"/>
  </mergeCells>
  <pageMargins left="0.75" right="0.75" top="1" bottom="1" header="0.511811023622047" footer="0.511811023622047"/>
  <pageSetup paperSize="9" orientation="portrait" horizontalDpi="300" verticalDpi="300"/>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showGridLines="0" zoomScale="90" zoomScaleNormal="90" workbookViewId="0">
      <selection activeCell="B16" sqref="B16"/>
    </sheetView>
  </sheetViews>
  <sheetFormatPr baseColWidth="10" defaultColWidth="8.7109375" defaultRowHeight="15" x14ac:dyDescent="0.25"/>
  <cols>
    <col min="1" max="16384" width="8.7109375" style="146"/>
  </cols>
  <sheetData>
    <row r="1" spans="1:1" ht="15" customHeight="1" x14ac:dyDescent="0.25">
      <c r="A1" s="255" t="s">
        <v>539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21</vt:i4>
      </vt:variant>
    </vt:vector>
  </HeadingPairs>
  <TitlesOfParts>
    <vt:vector size="35" baseType="lpstr">
      <vt:lpstr>Cover</vt:lpstr>
      <vt:lpstr>Assumptions</vt:lpstr>
      <vt:lpstr>Production</vt:lpstr>
      <vt:lpstr>Revenue</vt:lpstr>
      <vt:lpstr>OPEX</vt:lpstr>
      <vt:lpstr>OPEX Detail</vt:lpstr>
      <vt:lpstr>CAPEX</vt:lpstr>
      <vt:lpstr>CAPEX Detail</vt:lpstr>
      <vt:lpstr>Taxes</vt:lpstr>
      <vt:lpstr>Cash Flow</vt:lpstr>
      <vt:lpstr>Valuation</vt:lpstr>
      <vt:lpstr>Sensitivities</vt:lpstr>
      <vt:lpstr>Scenarios</vt:lpstr>
      <vt:lpstr>Dashboard</vt:lpstr>
      <vt:lpstr>CAPEX_Inicial_Total</vt:lpstr>
      <vt:lpstr>Costo_Mina_Unitario</vt:lpstr>
      <vt:lpstr>Costo_Planta_Unitario</vt:lpstr>
      <vt:lpstr>Factor_Conversion_TnLb</vt:lpstr>
      <vt:lpstr>GA_Fijo</vt:lpstr>
      <vt:lpstr>Ley_Cobre</vt:lpstr>
      <vt:lpstr>Ley_Concentrado</vt:lpstr>
      <vt:lpstr>LOM</vt:lpstr>
      <vt:lpstr>Mano_Obra_Fija</vt:lpstr>
      <vt:lpstr>OPEX_Total_Anual</vt:lpstr>
      <vt:lpstr>Payability</vt:lpstr>
      <vt:lpstr>Precio_Cobre</vt:lpstr>
      <vt:lpstr>RC_Unitario</vt:lpstr>
      <vt:lpstr>Recuperacion_Metalurgica</vt:lpstr>
      <vt:lpstr>Reservas_Totales</vt:lpstr>
      <vt:lpstr>Tasa_Impuesto</vt:lpstr>
      <vt:lpstr>Tasa_Provision_Cierre</vt:lpstr>
      <vt:lpstr>TC_Unitario</vt:lpstr>
      <vt:lpstr>TIR_Base</vt:lpstr>
      <vt:lpstr>Toneladas_Procesadas</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Ignacio Yudica</cp:lastModifiedBy>
  <cp:revision>0</cp:revision>
  <dcterms:created xsi:type="dcterms:W3CDTF">2026-09-26T23:16:01Z</dcterms:created>
  <dcterms:modified xsi:type="dcterms:W3CDTF">2026-09-29T13:03:20Z</dcterms:modified>
  <dc:language>en-US</dc:language>
</cp:coreProperties>
</file>